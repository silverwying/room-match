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F - Funcionais" sheetId="2" state="visible" r:id="rId4"/>
    <sheet name="RNF - Não Funciona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<sst xmlns="http://schemas.openxmlformats.org/spreadsheetml/2006/main" count="408" uniqueCount="181">
  <si>
    <t xml:space="preserve">RoomMatch — Requisitos Funcionais e Não Funcionais</t>
  </si>
  <si>
    <t xml:space="preserve">Conferência da planilha original + itens faltantes adicionados, com priorização MoSCoW para o escopo de 3 meses</t>
  </si>
  <si>
    <t xml:space="preserve">Indicador</t>
  </si>
  <si>
    <t xml:space="preserve">RF</t>
  </si>
  <si>
    <t xml:space="preserve">RNF</t>
  </si>
  <si>
    <t xml:space="preserve">Total</t>
  </si>
  <si>
    <t xml:space="preserve">Total de itens</t>
  </si>
  <si>
    <t xml:space="preserve">Já constavam na planilha original</t>
  </si>
  <si>
    <t xml:space="preserve">Adicionados nesta revisão (faltantes)</t>
  </si>
  <si>
    <t xml:space="preserve">Prioridade MoSCoW = Must</t>
  </si>
  <si>
    <t xml:space="preserve">Prioridade MoSCoW = Should</t>
  </si>
  <si>
    <t xml:space="preserve">Prioridade MoSCoW = Could</t>
  </si>
  <si>
    <t xml:space="preserve">Prioridade MoSCoW = Won't (fora do MVP)</t>
  </si>
  <si>
    <t xml:space="preserve">Notas e pontos de atenção</t>
  </si>
  <si>
    <t xml:space="preserve">• Linhas destacadas em amarelo claro = requisitos que faltavam na planilha original e foram adicionados agora.</t>
  </si>
  <si>
    <t xml:space="preserve">• RF37 (Comparador de imóveis): a planilha original marcava prioridade 'Baixa', mas a proposta de escopo do MVP (slide de definição de escopo) classifica 'Chat Interno &amp; Comparador Lado a Lado' como MVP ESSENCIAL. Sugiro alinhar com o grupo — aqui ele foi recomendado como 'Should' por segurança de prazo.</t>
  </si>
  <si>
    <t xml:space="preserve">• RF42 (Simulador de Auxílios): mantido como 'Won't (nesta versão)' porque já havia sido definido como Bônus Futuro (Pós-MVP) na apresentação de escopo — não recomendado para o ciclo de 3 meses.</t>
  </si>
  <si>
    <t xml:space="preserve">• Coluna 'Prioridade Original': Alta/Média/Baixa conforme constava (ou podia ser inferido) na planilha enviada. Coluna 'MoSCoW': recomendação considerando o prazo de 3 meses para programar o site.</t>
  </si>
  <si>
    <t xml:space="preserve">• Sugestão para os 3 meses: concentrar o time nos itens 'Must' primeiro (cadastro, perfil, matching, mural, mobilidade essencial, chat). Itens 'Should' entram se sobrar tempo; 'Could' e 'Won't' ficam para o roadmap pós-entrega.</t>
  </si>
  <si>
    <t xml:space="preserve">Legenda MoSCoW</t>
  </si>
  <si>
    <t xml:space="preserve">Must</t>
  </si>
  <si>
    <t xml:space="preserve">Should</t>
  </si>
  <si>
    <t xml:space="preserve">Could</t>
  </si>
  <si>
    <t xml:space="preserve">Won't (nesta versão)</t>
  </si>
  <si>
    <t xml:space="preserve">ID</t>
  </si>
  <si>
    <t xml:space="preserve">Módulo</t>
  </si>
  <si>
    <t xml:space="preserve">Descrição</t>
  </si>
  <si>
    <t xml:space="preserve">Prioridade Original</t>
  </si>
  <si>
    <t xml:space="preserve">MoSCoW (escopo 3 meses)</t>
  </si>
  <si>
    <t xml:space="preserve">Origem</t>
  </si>
  <si>
    <t xml:space="preserve">RF01</t>
  </si>
  <si>
    <t xml:space="preserve">Cadastro e Autenticação</t>
  </si>
  <si>
    <t xml:space="preserve">Cadastro de usuário com papéis (locador/locatário/admin)</t>
  </si>
  <si>
    <t xml:space="preserve">Alta</t>
  </si>
  <si>
    <t xml:space="preserve">Planilha original</t>
  </si>
  <si>
    <t xml:space="preserve">RF02</t>
  </si>
  <si>
    <t xml:space="preserve">Cadastro com e-mail, senha e verificação de conta por e-mail</t>
  </si>
  <si>
    <t xml:space="preserve">RF03</t>
  </si>
  <si>
    <t xml:space="preserve">Login (autenticação) por e-mail e senha</t>
  </si>
  <si>
    <t xml:space="preserve">RF04</t>
  </si>
  <si>
    <t xml:space="preserve">Recuperação de senha</t>
  </si>
  <si>
    <t xml:space="preserve">RF05</t>
  </si>
  <si>
    <t xml:space="preserve">Edição e exclusão de conta e dados pessoais (conformidade LGPD)</t>
  </si>
  <si>
    <t xml:space="preserve">RF06</t>
  </si>
  <si>
    <t xml:space="preserve">Perfil do Usuário</t>
  </si>
  <si>
    <t xml:space="preserve">Upload de foto de perfil e fotos complementares</t>
  </si>
  <si>
    <t xml:space="preserve">RF07</t>
  </si>
  <si>
    <t xml:space="preserve">Seleção de tags de estilo de vida e convivência</t>
  </si>
  <si>
    <t xml:space="preserve">RF08</t>
  </si>
  <si>
    <t xml:space="preserve">Definição do orçamento máximo mensal disponível para moradia</t>
  </si>
  <si>
    <t xml:space="preserve">RF09</t>
  </si>
  <si>
    <t xml:space="preserve">Preenchimento de ocupação, instituição/empresa e faixa de renda (opcional)</t>
  </si>
  <si>
    <t xml:space="preserve">RF10</t>
  </si>
  <si>
    <t xml:space="preserve">Sistema de reputação do usuário (estudante)</t>
  </si>
  <si>
    <t xml:space="preserve">Baixa</t>
  </si>
  <si>
    <t xml:space="preserve">RF11</t>
  </si>
  <si>
    <t xml:space="preserve">Denúncia e bloqueio de perfis</t>
  </si>
  <si>
    <t xml:space="preserve">Média</t>
  </si>
  <si>
    <t xml:space="preserve">Adicionado (faltante)</t>
  </si>
  <si>
    <t xml:space="preserve">RF12</t>
  </si>
  <si>
    <t xml:space="preserve">Matching (CardSwipe)</t>
  </si>
  <si>
    <t xml:space="preserve">Exibir cards de perfis e/ou imóveis em formato de navegação/deslize</t>
  </si>
  <si>
    <t xml:space="preserve">RF13</t>
  </si>
  <si>
    <t xml:space="preserve">Curtir perfil/imóvel (like)</t>
  </si>
  <si>
    <t xml:space="preserve">RF14</t>
  </si>
  <si>
    <t xml:space="preserve">Recusar perfil/imóvel (dislike)</t>
  </si>
  <si>
    <t xml:space="preserve">RF15</t>
  </si>
  <si>
    <t xml:space="preserve">Calcular e exibir % de afinidade com base nas tags de convivência</t>
  </si>
  <si>
    <t xml:space="preserve">RF16</t>
  </si>
  <si>
    <t xml:space="preserve">Permitir definição de um limiar mínimo de compatibilidade</t>
  </si>
  <si>
    <t xml:space="preserve">RF17</t>
  </si>
  <si>
    <t xml:space="preserve">Notificar o usuário quando um match/proposta for recebido ou confirmado</t>
  </si>
  <si>
    <t xml:space="preserve">RF18</t>
  </si>
  <si>
    <t xml:space="preserve">Histórico de curtidas e matches</t>
  </si>
  <si>
    <t xml:space="preserve">RF19</t>
  </si>
  <si>
    <t xml:space="preserve">Filtros por preferências de convivência na busca de matches</t>
  </si>
  <si>
    <t xml:space="preserve">RF20</t>
  </si>
  <si>
    <t xml:space="preserve">Mural de Imóveis</t>
  </si>
  <si>
    <t xml:space="preserve">Publicar anúncios de quartos, kitnets ou vagas em repúblicas/casas</t>
  </si>
  <si>
    <t xml:space="preserve">RF21</t>
  </si>
  <si>
    <t xml:space="preserve">Detalhamento transparente do rateio (aluguel + condomínio + IPTU + estimativa de contas)</t>
  </si>
  <si>
    <t xml:space="preserve">RF22</t>
  </si>
  <si>
    <t xml:space="preserve">Upload de múltiplas fotos do imóvel e do quarto/vaga</t>
  </si>
  <si>
    <t xml:space="preserve">RF23</t>
  </si>
  <si>
    <t xml:space="preserve">Exibir resumo do perfil dos moradores atuais no card do imóvel</t>
  </si>
  <si>
    <t xml:space="preserve">RF24</t>
  </si>
  <si>
    <t xml:space="preserve">Busca e filtragem por bairro, faixa de preço, tipo de imóvel e tags</t>
  </si>
  <si>
    <t xml:space="preserve">RF25</t>
  </si>
  <si>
    <t xml:space="preserve">Favoritar e salvar anúncios para consulta posterior</t>
  </si>
  <si>
    <t xml:space="preserve">RF26</t>
  </si>
  <si>
    <t xml:space="preserve">Exibição dos imóveis no mapa nas redondezas da universidade (API Google Maps, estático)</t>
  </si>
  <si>
    <t xml:space="preserve">RF27</t>
  </si>
  <si>
    <t xml:space="preserve">Contato direto entre interessado e anunciante via chat interno, se compatível</t>
  </si>
  <si>
    <t xml:space="preserve">RF28</t>
  </si>
  <si>
    <t xml:space="preserve">Mobilidade Urbana (GTFS)</t>
  </si>
  <si>
    <t xml:space="preserve">Calcular tempo e distância de deslocamento entre imóvel e destino informado</t>
  </si>
  <si>
    <t xml:space="preserve">RF29</t>
  </si>
  <si>
    <t xml:space="preserve">Exibir, no card do imóvel, resumo do tempo estimado de deslocamento</t>
  </si>
  <si>
    <t xml:space="preserve">RF30</t>
  </si>
  <si>
    <t xml:space="preserve">Cadastro de múltiplos destinos recorrentes (ex.: campus e estágio)</t>
  </si>
  <si>
    <t xml:space="preserve">RF31</t>
  </si>
  <si>
    <t xml:space="preserve">Cálculo de rota via transporte público com dados GTFS (EMDEC/EMTU)</t>
  </si>
  <si>
    <t xml:space="preserve">RF32</t>
  </si>
  <si>
    <t xml:space="preserve">Cálculo de rota a pé até o destino</t>
  </si>
  <si>
    <t xml:space="preserve">RF33</t>
  </si>
  <si>
    <t xml:space="preserve">Visualização do trajeto em mapa</t>
  </si>
  <si>
    <t xml:space="preserve">RF34</t>
  </si>
  <si>
    <t xml:space="preserve">Comunicação (Chat)</t>
  </si>
  <si>
    <t xml:space="preserve">Chat interno para troca de mensagens entre usuários/anunciantes</t>
  </si>
  <si>
    <t xml:space="preserve">RF35</t>
  </si>
  <si>
    <t xml:space="preserve">Notificações in-app e/ou e-mail (contatos, mensagens, atualizações em favoritos)</t>
  </si>
  <si>
    <t xml:space="preserve">RF36</t>
  </si>
  <si>
    <t xml:space="preserve">Compartilhamento de contato externo (WhatsApp) mediante consentimento mútuo explícito</t>
  </si>
  <si>
    <t xml:space="preserve">RF37</t>
  </si>
  <si>
    <t xml:space="preserve">Comparador de Imóveis</t>
  </si>
  <si>
    <t xml:space="preserve">Comparar até 3 imóveis lado a lado (custo total, tempo de rota, tags em comum)</t>
  </si>
  <si>
    <t xml:space="preserve">Baixa*</t>
  </si>
  <si>
    <t xml:space="preserve">Planilha original (ver nota)</t>
  </si>
  <si>
    <t xml:space="preserve">RF38</t>
  </si>
  <si>
    <t xml:space="preserve">Administração e Moderação</t>
  </si>
  <si>
    <t xml:space="preserve">Moderação e aprovação prévia de novos anúncios antes da publicação</t>
  </si>
  <si>
    <t xml:space="preserve">RF39</t>
  </si>
  <si>
    <t xml:space="preserve">Remoção de perfis inadequados e de anúncios denunciados</t>
  </si>
  <si>
    <t xml:space="preserve">RF40</t>
  </si>
  <si>
    <t xml:space="preserve">Registro (log) de ações administrativas</t>
  </si>
  <si>
    <t xml:space="preserve">RF41</t>
  </si>
  <si>
    <t xml:space="preserve">Indicadores de uso da plataforma (nº de matches, anúncios ativos, bairros com maior demanda)</t>
  </si>
  <si>
    <t xml:space="preserve">RF42</t>
  </si>
  <si>
    <t xml:space="preserve">Simulador de Auxílios (Pós-MVP)</t>
  </si>
  <si>
    <t xml:space="preserve">Cruzar renda declarada com critérios socioeconômicos e apontar programas de auxílio-moradia/permanência estudantil compatíveis</t>
  </si>
  <si>
    <t xml:space="preserve">Categoria</t>
  </si>
  <si>
    <t xml:space="preserve">RNF01</t>
  </si>
  <si>
    <t xml:space="preserve">Usabilidade</t>
  </si>
  <si>
    <t xml:space="preserve">Sistema totalmente responsivo (mobile-first): smartphones, tablets e desktop</t>
  </si>
  <si>
    <t xml:space="preserve">RNF02</t>
  </si>
  <si>
    <t xml:space="preserve">Onboarding otimizado: cadastro concluído em até 5 minutos</t>
  </si>
  <si>
    <t xml:space="preserve">RNF03</t>
  </si>
  <si>
    <t xml:space="preserve">Acessibilidade WCAG 2.1 nível AA (contraste adequado e navegação por teclado)</t>
  </si>
  <si>
    <t xml:space="preserve">RNF04</t>
  </si>
  <si>
    <t xml:space="preserve">Segurança</t>
  </si>
  <si>
    <t xml:space="preserve">Hash criptográfico forte de senhas (bcrypt ou argon2)</t>
  </si>
  <si>
    <t xml:space="preserve">RNF05</t>
  </si>
  <si>
    <t xml:space="preserve">Criptografia de dados sensíveis e de localização em trânsito e repouso (HTTPS/TLS)</t>
  </si>
  <si>
    <t xml:space="preserve">RNF06</t>
  </si>
  <si>
    <t xml:space="preserve">Privacidade / LGPD</t>
  </si>
  <si>
    <t xml:space="preserve">Conformidade estrita com a LGPD: consentimento explícito e exclusão total de dados sob pedido</t>
  </si>
  <si>
    <t xml:space="preserve">RNF07</t>
  </si>
  <si>
    <t xml:space="preserve">Controle de acesso baseado em papéis (Usuário Comum, Anunciante, Administrador)</t>
  </si>
  <si>
    <t xml:space="preserve">RNF08</t>
  </si>
  <si>
    <t xml:space="preserve">Confiabilidade</t>
  </si>
  <si>
    <t xml:space="preserve">Rotina automatizada de backup diário do banco de dados relacional</t>
  </si>
  <si>
    <t xml:space="preserve">RNF09</t>
  </si>
  <si>
    <t xml:space="preserve">Dados</t>
  </si>
  <si>
    <t xml:space="preserve">Banco de dados relacional normalizado em 3ª Forma Normal (3FN)</t>
  </si>
  <si>
    <t xml:space="preserve">RNF10</t>
  </si>
  <si>
    <t xml:space="preserve">Arquitetura</t>
  </si>
  <si>
    <t xml:space="preserve">Integração com APIs externas (GTFS EMDEC/EMTU, OpenStreetMap) desacoplada em camada de serviço</t>
  </si>
  <si>
    <t xml:space="preserve">RNF11</t>
  </si>
  <si>
    <t xml:space="preserve">Desempenho</t>
  </si>
  <si>
    <t xml:space="preserve">Carregamento dos cards em até 2 segundos em rede móvel 4G</t>
  </si>
  <si>
    <t xml:space="preserve">RNF12</t>
  </si>
  <si>
    <t xml:space="preserve">Cálculo de rota GTFS em até 5 segundos</t>
  </si>
  <si>
    <t xml:space="preserve">RNF13</t>
  </si>
  <si>
    <t xml:space="preserve">Cache de rotas frequentes para mitigar consultas redundantes a APIs externas</t>
  </si>
  <si>
    <t xml:space="preserve">RNF14</t>
  </si>
  <si>
    <t xml:space="preserve">Disponibilidade mínima de 99% em horário comercial</t>
  </si>
  <si>
    <t xml:space="preserve">RNF15</t>
  </si>
  <si>
    <t xml:space="preserve">Escalabilidade</t>
  </si>
  <si>
    <t xml:space="preserve">Suporte a pelo menos 500 usuários simultâneos</t>
  </si>
  <si>
    <t xml:space="preserve">RNF16</t>
  </si>
  <si>
    <t xml:space="preserve">Compatibilidade</t>
  </si>
  <si>
    <t xml:space="preserve">Suporte aos navegadores Chrome, Firefox, Edge e Safari</t>
  </si>
  <si>
    <t xml:space="preserve">RNF17</t>
  </si>
  <si>
    <t xml:space="preserve">Arquitetura modular por domínio (cadastro, matching, mural, mobilidade, chat, admin)</t>
  </si>
  <si>
    <t xml:space="preserve">RNF18</t>
  </si>
  <si>
    <t xml:space="preserve">Processo</t>
  </si>
  <si>
    <t xml:space="preserve">Versionamento de código via Git/GitHub</t>
  </si>
  <si>
    <t xml:space="preserve">RNF19</t>
  </si>
  <si>
    <t xml:space="preserve">Consentimento explícito específico para uso de dados socioeconômicos (renda declarada)</t>
  </si>
  <si>
    <t xml:space="preserve">RNF20</t>
  </si>
  <si>
    <t xml:space="preserve">Arquitetura preparada para expansão futura pós-MVP (ex.: simulador de auxílios)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</si>
</sst>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1D2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41D22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41D22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41D2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141D22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F___Funcionais" displayName="RF___Funcionais" ref="A1:F43" headerRowCount="1" totalsRowCount="0" totalsRowShown="0">
  <autoFilter ref="A1:F43"/>
  <tableColumns count="6">
    <tableColumn id="1" name="ID"/>
    <tableColumn id="2" name="Módulo"/>
    <tableColumn id="3" name="Descrição"/>
    <tableColumn id="4" name="Prioridade Original"/>
    <tableColumn id="5" name="MoSCoW (escopo 3 meses)"/>
    <tableColumn id="6" name="Origem"/>
  </tableColumns>
</table>
</file>

<file path=xl/tables/table2.xml><?xml version="1.0" encoding="utf-8"?>
<table xmlns="http://schemas.openxmlformats.org/spreadsheetml/2006/main" id="2" name="RNF___Não_Funcionais" displayName="RNF___Não_Funcionais" ref="A1:F21" headerRowCount="1" totalsRowCount="0" totalsRowShown="0">
  <autoFilter ref="A1:F21"/>
  <tableColumns count="6">
    <tableColumn id="1" name="ID"/>
    <tableColumn id="2" name="Categoria"/>
    <tableColumn id="3" name="Descrição"/>
    <tableColumn id="4" name="Prioridade Original"/>
    <tableColumn id="5" name="MoSCoW (escopo 3 meses)"/>
    <tableColumn id="6" name="Orige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5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f aca="false">COUNTA('RF - Funcionais'!A2:A43)</f>
        <v>42</v>
      </c>
      <c r="C5" s="5" t="n">
        <f aca="false">COUNTA('RNF - Não Funcionais'!A2:A21)</f>
        <v>20</v>
      </c>
      <c r="D5" s="5" t="n">
        <f aca="false">B5+C5</f>
        <v>62</v>
      </c>
    </row>
    <row r="6" customFormat="false" ht="15" hidden="false" customHeight="false" outlineLevel="0" collapsed="false">
      <c r="A6" s="4" t="s">
        <v>7</v>
      </c>
      <c r="B6" s="5" t="n">
        <f aca="false">COUNTIF('RF - Funcionais'!F2:F43,"Planilha original*")</f>
        <v>31</v>
      </c>
      <c r="C6" s="5" t="n">
        <f aca="false">COUNTIF('RNF - Não Funcionais'!F2:F21,"Planilha original*")</f>
        <v>10</v>
      </c>
      <c r="D6" s="5" t="n">
        <f aca="false">B6+C6</f>
        <v>41</v>
      </c>
    </row>
    <row r="7" customFormat="false" ht="15" hidden="false" customHeight="false" outlineLevel="0" collapsed="false">
      <c r="A7" s="4" t="s">
        <v>8</v>
      </c>
      <c r="B7" s="5" t="n">
        <f aca="false">COUNTIF('RF - Funcionais'!F2:F43,"Adicionado*")</f>
        <v>11</v>
      </c>
      <c r="C7" s="5" t="n">
        <f aca="false">COUNTIF('RNF - Não Funcionais'!F2:F21,"Adicionado*")</f>
        <v>10</v>
      </c>
      <c r="D7" s="5" t="n">
        <f aca="false">B7+C7</f>
        <v>21</v>
      </c>
    </row>
    <row r="8" customFormat="false" ht="15" hidden="false" customHeight="false" outlineLevel="0" collapsed="false">
      <c r="A8" s="4" t="s">
        <v>9</v>
      </c>
      <c r="B8" s="5" t="n">
        <f aca="false">COUNTIF('RF - Funcionais'!E2:E43,"Must")</f>
        <v>27</v>
      </c>
      <c r="C8" s="5" t="n">
        <f aca="false">COUNTIF('RNF - Não Funcionais'!E2:E21,"Must")</f>
        <v>10</v>
      </c>
      <c r="D8" s="5" t="n">
        <f aca="false">B8+C8</f>
        <v>37</v>
      </c>
    </row>
    <row r="9" customFormat="false" ht="15" hidden="false" customHeight="false" outlineLevel="0" collapsed="false">
      <c r="A9" s="4" t="s">
        <v>10</v>
      </c>
      <c r="B9" s="5" t="n">
        <f aca="false">COUNTIF('RF - Funcionais'!E2:E43,"Should")</f>
        <v>9</v>
      </c>
      <c r="C9" s="5" t="n">
        <f aca="false">COUNTIF('RNF - Não Funcionais'!E2:E21,"Should")</f>
        <v>6</v>
      </c>
      <c r="D9" s="5" t="n">
        <f aca="false">B9+C9</f>
        <v>15</v>
      </c>
    </row>
    <row r="10" customFormat="false" ht="15" hidden="false" customHeight="false" outlineLevel="0" collapsed="false">
      <c r="A10" s="4" t="s">
        <v>11</v>
      </c>
      <c r="B10" s="5" t="n">
        <f aca="false">COUNTIF('RF - Funcionais'!E2:E43,"Could")</f>
        <v>5</v>
      </c>
      <c r="C10" s="5" t="n">
        <f aca="false">COUNTIF('RNF - Não Funcionais'!E2:E21,"Could")</f>
        <v>4</v>
      </c>
      <c r="D10" s="5" t="n">
        <f aca="false">B10+C10</f>
        <v>9</v>
      </c>
    </row>
    <row r="11" customFormat="false" ht="15" hidden="false" customHeight="false" outlineLevel="0" collapsed="false">
      <c r="A11" s="4" t="s">
        <v>12</v>
      </c>
      <c r="B11" s="5" t="n">
        <f aca="false">COUNTIF('RF - Funcionais'!E2:E43,"Won't (nesta versão)")</f>
        <v>1</v>
      </c>
      <c r="C11" s="5" t="n">
        <f aca="false">COUNTIF('RNF - Não Funcionais'!E2:E21,"Won't (nesta versão)")</f>
        <v>0</v>
      </c>
      <c r="D11" s="5" t="n">
        <f aca="false">B11+C11</f>
        <v>1</v>
      </c>
    </row>
    <row r="13" customFormat="false" ht="15" hidden="false" customHeight="false" outlineLevel="0" collapsed="false">
      <c r="A13" s="6" t="s">
        <v>13</v>
      </c>
    </row>
    <row r="14" customFormat="false" ht="30" hidden="false" customHeight="true" outlineLevel="0" collapsed="false">
      <c r="A14" s="7" t="s">
        <v>14</v>
      </c>
      <c r="B14" s="7"/>
      <c r="C14" s="7"/>
      <c r="D14" s="7"/>
      <c r="E14" s="7"/>
    </row>
    <row r="15" customFormat="false" ht="30" hidden="false" customHeight="true" outlineLevel="0" collapsed="false">
      <c r="A15" s="7" t="s">
        <v>15</v>
      </c>
      <c r="B15" s="7"/>
      <c r="C15" s="7"/>
      <c r="D15" s="7"/>
      <c r="E15" s="7"/>
    </row>
    <row r="16" customFormat="false" ht="30" hidden="false" customHeight="true" outlineLevel="0" collapsed="false">
      <c r="A16" s="7" t="s">
        <v>16</v>
      </c>
      <c r="B16" s="7"/>
      <c r="C16" s="7"/>
      <c r="D16" s="7"/>
      <c r="E16" s="7"/>
    </row>
    <row r="17" customFormat="false" ht="30" hidden="false" customHeight="true" outlineLevel="0" collapsed="false">
      <c r="A17" s="7" t="s">
        <v>17</v>
      </c>
      <c r="B17" s="7"/>
      <c r="C17" s="7"/>
      <c r="D17" s="7"/>
      <c r="E17" s="7"/>
    </row>
    <row r="18" customFormat="false" ht="30" hidden="false" customHeight="true" outlineLevel="0" collapsed="false">
      <c r="A18" s="7" t="s">
        <v>18</v>
      </c>
      <c r="B18" s="7"/>
      <c r="C18" s="7"/>
      <c r="D18" s="7"/>
      <c r="E18" s="7"/>
    </row>
    <row r="20" customFormat="false" ht="15" hidden="false" customHeight="false" outlineLevel="0" collapsed="false">
      <c r="A20" s="8" t="s">
        <v>19</v>
      </c>
    </row>
    <row r="21" customFormat="false" ht="15" hidden="false" customHeight="false" outlineLevel="0" collapsed="false">
      <c r="A21" s="9" t="s">
        <v>20</v>
      </c>
    </row>
    <row r="22" customFormat="false" ht="15" hidden="false" customHeight="false" outlineLevel="0" collapsed="false">
      <c r="A22" s="10" t="s">
        <v>21</v>
      </c>
    </row>
    <row r="23" customFormat="false" ht="15" hidden="false" customHeight="false" outlineLevel="0" collapsed="false">
      <c r="A23" s="11" t="s">
        <v>22</v>
      </c>
    </row>
    <row r="24" customFormat="false" ht="15" hidden="false" customHeight="false" outlineLevel="0" collapsed="false">
      <c r="A24" s="12" t="s">
        <v>23</v>
      </c>
    </row>
  </sheetData>
  <mergeCells count="5">
    <mergeCell ref="A14:E14"/>
    <mergeCell ref="A15:E15"/>
    <mergeCell ref="A16:E16"/>
    <mergeCell ref="A17:E17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  <c r="F1" s="13" t="s">
        <v>29</v>
      </c>
    </row>
    <row r="2" customFormat="false" ht="15" hidden="false" customHeight="false" outlineLevel="0" collapsed="false">
      <c r="A2" s="14" t="s">
        <v>30</v>
      </c>
      <c r="B2" s="15" t="s">
        <v>31</v>
      </c>
      <c r="C2" s="15" t="s">
        <v>32</v>
      </c>
      <c r="D2" s="14" t="s">
        <v>33</v>
      </c>
      <c r="E2" s="16" t="s">
        <v>20</v>
      </c>
      <c r="F2" s="15" t="s">
        <v>34</v>
      </c>
    </row>
    <row r="3" customFormat="false" ht="15" hidden="false" customHeight="false" outlineLevel="0" collapsed="false">
      <c r="A3" s="14" t="s">
        <v>35</v>
      </c>
      <c r="B3" s="15" t="s">
        <v>31</v>
      </c>
      <c r="C3" s="15" t="s">
        <v>36</v>
      </c>
      <c r="D3" s="14" t="s">
        <v>33</v>
      </c>
      <c r="E3" s="16" t="s">
        <v>20</v>
      </c>
      <c r="F3" s="15" t="s">
        <v>34</v>
      </c>
    </row>
    <row r="4" customFormat="false" ht="15" hidden="false" customHeight="false" outlineLevel="0" collapsed="false">
      <c r="A4" s="14" t="s">
        <v>37</v>
      </c>
      <c r="B4" s="15" t="s">
        <v>31</v>
      </c>
      <c r="C4" s="15" t="s">
        <v>38</v>
      </c>
      <c r="D4" s="14" t="s">
        <v>33</v>
      </c>
      <c r="E4" s="16" t="s">
        <v>20</v>
      </c>
      <c r="F4" s="15" t="s">
        <v>34</v>
      </c>
    </row>
    <row r="5" customFormat="false" ht="15" hidden="false" customHeight="false" outlineLevel="0" collapsed="false">
      <c r="A5" s="14" t="s">
        <v>39</v>
      </c>
      <c r="B5" s="15" t="s">
        <v>31</v>
      </c>
      <c r="C5" s="15" t="s">
        <v>40</v>
      </c>
      <c r="D5" s="14" t="s">
        <v>33</v>
      </c>
      <c r="E5" s="16" t="s">
        <v>20</v>
      </c>
      <c r="F5" s="15" t="s">
        <v>34</v>
      </c>
    </row>
    <row r="6" customFormat="false" ht="15" hidden="false" customHeight="false" outlineLevel="0" collapsed="false">
      <c r="A6" s="14" t="s">
        <v>41</v>
      </c>
      <c r="B6" s="15" t="s">
        <v>31</v>
      </c>
      <c r="C6" s="15" t="s">
        <v>42</v>
      </c>
      <c r="D6" s="14" t="s">
        <v>33</v>
      </c>
      <c r="E6" s="16" t="s">
        <v>20</v>
      </c>
      <c r="F6" s="15" t="s">
        <v>34</v>
      </c>
    </row>
    <row r="7" customFormat="false" ht="15" hidden="false" customHeight="false" outlineLevel="0" collapsed="false">
      <c r="A7" s="14" t="s">
        <v>43</v>
      </c>
      <c r="B7" s="15" t="s">
        <v>44</v>
      </c>
      <c r="C7" s="15" t="s">
        <v>45</v>
      </c>
      <c r="D7" s="14" t="s">
        <v>33</v>
      </c>
      <c r="E7" s="16" t="s">
        <v>20</v>
      </c>
      <c r="F7" s="15" t="s">
        <v>34</v>
      </c>
    </row>
    <row r="8" customFormat="false" ht="15" hidden="false" customHeight="false" outlineLevel="0" collapsed="false">
      <c r="A8" s="14" t="s">
        <v>46</v>
      </c>
      <c r="B8" s="15" t="s">
        <v>44</v>
      </c>
      <c r="C8" s="15" t="s">
        <v>47</v>
      </c>
      <c r="D8" s="14" t="s">
        <v>33</v>
      </c>
      <c r="E8" s="16" t="s">
        <v>20</v>
      </c>
      <c r="F8" s="15" t="s">
        <v>34</v>
      </c>
    </row>
    <row r="9" customFormat="false" ht="15" hidden="false" customHeight="false" outlineLevel="0" collapsed="false">
      <c r="A9" s="14" t="s">
        <v>48</v>
      </c>
      <c r="B9" s="15" t="s">
        <v>44</v>
      </c>
      <c r="C9" s="15" t="s">
        <v>49</v>
      </c>
      <c r="D9" s="14" t="s">
        <v>33</v>
      </c>
      <c r="E9" s="16" t="s">
        <v>20</v>
      </c>
      <c r="F9" s="15" t="s">
        <v>34</v>
      </c>
    </row>
    <row r="10" customFormat="false" ht="23.85" hidden="false" customHeight="false" outlineLevel="0" collapsed="false">
      <c r="A10" s="14" t="s">
        <v>50</v>
      </c>
      <c r="B10" s="15" t="s">
        <v>44</v>
      </c>
      <c r="C10" s="15" t="s">
        <v>51</v>
      </c>
      <c r="D10" s="14" t="s">
        <v>33</v>
      </c>
      <c r="E10" s="16" t="s">
        <v>20</v>
      </c>
      <c r="F10" s="15" t="s">
        <v>34</v>
      </c>
    </row>
    <row r="11" customFormat="false" ht="15" hidden="false" customHeight="false" outlineLevel="0" collapsed="false">
      <c r="A11" s="14" t="s">
        <v>52</v>
      </c>
      <c r="B11" s="15" t="s">
        <v>44</v>
      </c>
      <c r="C11" s="15" t="s">
        <v>53</v>
      </c>
      <c r="D11" s="14" t="s">
        <v>54</v>
      </c>
      <c r="E11" s="17" t="s">
        <v>22</v>
      </c>
      <c r="F11" s="15" t="s">
        <v>34</v>
      </c>
    </row>
    <row r="12" customFormat="false" ht="15" hidden="false" customHeight="false" outlineLevel="0" collapsed="false">
      <c r="A12" s="18" t="s">
        <v>55</v>
      </c>
      <c r="B12" s="19" t="s">
        <v>44</v>
      </c>
      <c r="C12" s="19" t="s">
        <v>56</v>
      </c>
      <c r="D12" s="18" t="s">
        <v>57</v>
      </c>
      <c r="E12" s="20" t="s">
        <v>21</v>
      </c>
      <c r="F12" s="19" t="s">
        <v>58</v>
      </c>
    </row>
    <row r="13" customFormat="false" ht="15" hidden="false" customHeight="false" outlineLevel="0" collapsed="false">
      <c r="A13" s="14" t="s">
        <v>59</v>
      </c>
      <c r="B13" s="15" t="s">
        <v>60</v>
      </c>
      <c r="C13" s="15" t="s">
        <v>61</v>
      </c>
      <c r="D13" s="14" t="s">
        <v>33</v>
      </c>
      <c r="E13" s="16" t="s">
        <v>20</v>
      </c>
      <c r="F13" s="15" t="s">
        <v>34</v>
      </c>
    </row>
    <row r="14" customFormat="false" ht="15" hidden="false" customHeight="false" outlineLevel="0" collapsed="false">
      <c r="A14" s="18" t="s">
        <v>62</v>
      </c>
      <c r="B14" s="19" t="s">
        <v>60</v>
      </c>
      <c r="C14" s="19" t="s">
        <v>63</v>
      </c>
      <c r="D14" s="18" t="s">
        <v>33</v>
      </c>
      <c r="E14" s="16" t="s">
        <v>20</v>
      </c>
      <c r="F14" s="19" t="s">
        <v>58</v>
      </c>
    </row>
    <row r="15" customFormat="false" ht="15" hidden="false" customHeight="false" outlineLevel="0" collapsed="false">
      <c r="A15" s="18" t="s">
        <v>64</v>
      </c>
      <c r="B15" s="19" t="s">
        <v>60</v>
      </c>
      <c r="C15" s="19" t="s">
        <v>65</v>
      </c>
      <c r="D15" s="18" t="s">
        <v>33</v>
      </c>
      <c r="E15" s="16" t="s">
        <v>20</v>
      </c>
      <c r="F15" s="19" t="s">
        <v>58</v>
      </c>
    </row>
    <row r="16" customFormat="false" ht="15" hidden="false" customHeight="false" outlineLevel="0" collapsed="false">
      <c r="A16" s="14" t="s">
        <v>66</v>
      </c>
      <c r="B16" s="15" t="s">
        <v>60</v>
      </c>
      <c r="C16" s="15" t="s">
        <v>67</v>
      </c>
      <c r="D16" s="14" t="s">
        <v>33</v>
      </c>
      <c r="E16" s="16" t="s">
        <v>20</v>
      </c>
      <c r="F16" s="15" t="s">
        <v>34</v>
      </c>
    </row>
    <row r="17" customFormat="false" ht="15" hidden="false" customHeight="false" outlineLevel="0" collapsed="false">
      <c r="A17" s="14" t="s">
        <v>68</v>
      </c>
      <c r="B17" s="15" t="s">
        <v>60</v>
      </c>
      <c r="C17" s="15" t="s">
        <v>69</v>
      </c>
      <c r="D17" s="14" t="s">
        <v>33</v>
      </c>
      <c r="E17" s="16" t="s">
        <v>20</v>
      </c>
      <c r="F17" s="15" t="s">
        <v>34</v>
      </c>
    </row>
    <row r="18" customFormat="false" ht="15" hidden="false" customHeight="false" outlineLevel="0" collapsed="false">
      <c r="A18" s="14" t="s">
        <v>70</v>
      </c>
      <c r="B18" s="15" t="s">
        <v>60</v>
      </c>
      <c r="C18" s="15" t="s">
        <v>71</v>
      </c>
      <c r="D18" s="14" t="s">
        <v>33</v>
      </c>
      <c r="E18" s="16" t="s">
        <v>20</v>
      </c>
      <c r="F18" s="15" t="s">
        <v>34</v>
      </c>
    </row>
    <row r="19" customFormat="false" ht="15" hidden="false" customHeight="false" outlineLevel="0" collapsed="false">
      <c r="A19" s="18" t="s">
        <v>72</v>
      </c>
      <c r="B19" s="19" t="s">
        <v>60</v>
      </c>
      <c r="C19" s="19" t="s">
        <v>73</v>
      </c>
      <c r="D19" s="18" t="s">
        <v>54</v>
      </c>
      <c r="E19" s="17" t="s">
        <v>22</v>
      </c>
      <c r="F19" s="19" t="s">
        <v>58</v>
      </c>
    </row>
    <row r="20" customFormat="false" ht="15" hidden="false" customHeight="false" outlineLevel="0" collapsed="false">
      <c r="A20" s="18" t="s">
        <v>74</v>
      </c>
      <c r="B20" s="19" t="s">
        <v>60</v>
      </c>
      <c r="C20" s="19" t="s">
        <v>75</v>
      </c>
      <c r="D20" s="18" t="s">
        <v>57</v>
      </c>
      <c r="E20" s="20" t="s">
        <v>21</v>
      </c>
      <c r="F20" s="19" t="s">
        <v>58</v>
      </c>
    </row>
    <row r="21" customFormat="false" ht="15" hidden="false" customHeight="false" outlineLevel="0" collapsed="false">
      <c r="A21" s="14" t="s">
        <v>76</v>
      </c>
      <c r="B21" s="15" t="s">
        <v>77</v>
      </c>
      <c r="C21" s="15" t="s">
        <v>78</v>
      </c>
      <c r="D21" s="14" t="s">
        <v>33</v>
      </c>
      <c r="E21" s="16" t="s">
        <v>20</v>
      </c>
      <c r="F21" s="15" t="s">
        <v>34</v>
      </c>
    </row>
    <row r="22" customFormat="false" ht="23.85" hidden="false" customHeight="false" outlineLevel="0" collapsed="false">
      <c r="A22" s="14" t="s">
        <v>79</v>
      </c>
      <c r="B22" s="15" t="s">
        <v>77</v>
      </c>
      <c r="C22" s="15" t="s">
        <v>80</v>
      </c>
      <c r="D22" s="14" t="s">
        <v>33</v>
      </c>
      <c r="E22" s="16" t="s">
        <v>20</v>
      </c>
      <c r="F22" s="15" t="s">
        <v>34</v>
      </c>
    </row>
    <row r="23" customFormat="false" ht="15" hidden="false" customHeight="false" outlineLevel="0" collapsed="false">
      <c r="A23" s="14" t="s">
        <v>81</v>
      </c>
      <c r="B23" s="15" t="s">
        <v>77</v>
      </c>
      <c r="C23" s="15" t="s">
        <v>82</v>
      </c>
      <c r="D23" s="14" t="s">
        <v>33</v>
      </c>
      <c r="E23" s="16" t="s">
        <v>20</v>
      </c>
      <c r="F23" s="15" t="s">
        <v>34</v>
      </c>
    </row>
    <row r="24" customFormat="false" ht="15" hidden="false" customHeight="false" outlineLevel="0" collapsed="false">
      <c r="A24" s="14" t="s">
        <v>83</v>
      </c>
      <c r="B24" s="15" t="s">
        <v>77</v>
      </c>
      <c r="C24" s="15" t="s">
        <v>84</v>
      </c>
      <c r="D24" s="14" t="s">
        <v>33</v>
      </c>
      <c r="E24" s="16" t="s">
        <v>20</v>
      </c>
      <c r="F24" s="15" t="s">
        <v>34</v>
      </c>
    </row>
    <row r="25" customFormat="false" ht="15" hidden="false" customHeight="false" outlineLevel="0" collapsed="false">
      <c r="A25" s="14" t="s">
        <v>85</v>
      </c>
      <c r="B25" s="15" t="s">
        <v>77</v>
      </c>
      <c r="C25" s="15" t="s">
        <v>86</v>
      </c>
      <c r="D25" s="14" t="s">
        <v>33</v>
      </c>
      <c r="E25" s="16" t="s">
        <v>20</v>
      </c>
      <c r="F25" s="15" t="s">
        <v>34</v>
      </c>
    </row>
    <row r="26" customFormat="false" ht="15" hidden="false" customHeight="false" outlineLevel="0" collapsed="false">
      <c r="A26" s="14" t="s">
        <v>87</v>
      </c>
      <c r="B26" s="15" t="s">
        <v>77</v>
      </c>
      <c r="C26" s="15" t="s">
        <v>88</v>
      </c>
      <c r="D26" s="14" t="s">
        <v>33</v>
      </c>
      <c r="E26" s="16" t="s">
        <v>20</v>
      </c>
      <c r="F26" s="15" t="s">
        <v>34</v>
      </c>
    </row>
    <row r="27" customFormat="false" ht="23.85" hidden="false" customHeight="false" outlineLevel="0" collapsed="false">
      <c r="A27" s="14" t="s">
        <v>89</v>
      </c>
      <c r="B27" s="15" t="s">
        <v>77</v>
      </c>
      <c r="C27" s="15" t="s">
        <v>90</v>
      </c>
      <c r="D27" s="14" t="s">
        <v>33</v>
      </c>
      <c r="E27" s="20" t="s">
        <v>21</v>
      </c>
      <c r="F27" s="15" t="s">
        <v>34</v>
      </c>
    </row>
    <row r="28" customFormat="false" ht="23.85" hidden="false" customHeight="false" outlineLevel="0" collapsed="false">
      <c r="A28" s="14" t="s">
        <v>91</v>
      </c>
      <c r="B28" s="15" t="s">
        <v>77</v>
      </c>
      <c r="C28" s="15" t="s">
        <v>92</v>
      </c>
      <c r="D28" s="14" t="s">
        <v>33</v>
      </c>
      <c r="E28" s="16" t="s">
        <v>20</v>
      </c>
      <c r="F28" s="15" t="s">
        <v>34</v>
      </c>
    </row>
    <row r="29" customFormat="false" ht="23.85" hidden="false" customHeight="false" outlineLevel="0" collapsed="false">
      <c r="A29" s="14" t="s">
        <v>93</v>
      </c>
      <c r="B29" s="15" t="s">
        <v>94</v>
      </c>
      <c r="C29" s="15" t="s">
        <v>95</v>
      </c>
      <c r="D29" s="14" t="s">
        <v>33</v>
      </c>
      <c r="E29" s="16" t="s">
        <v>20</v>
      </c>
      <c r="F29" s="15" t="s">
        <v>34</v>
      </c>
    </row>
    <row r="30" customFormat="false" ht="15" hidden="false" customHeight="false" outlineLevel="0" collapsed="false">
      <c r="A30" s="14" t="s">
        <v>96</v>
      </c>
      <c r="B30" s="15" t="s">
        <v>94</v>
      </c>
      <c r="C30" s="15" t="s">
        <v>97</v>
      </c>
      <c r="D30" s="14" t="s">
        <v>33</v>
      </c>
      <c r="E30" s="16" t="s">
        <v>20</v>
      </c>
      <c r="F30" s="15" t="s">
        <v>34</v>
      </c>
    </row>
    <row r="31" customFormat="false" ht="15" hidden="false" customHeight="false" outlineLevel="0" collapsed="false">
      <c r="A31" s="14" t="s">
        <v>98</v>
      </c>
      <c r="B31" s="15" t="s">
        <v>94</v>
      </c>
      <c r="C31" s="15" t="s">
        <v>99</v>
      </c>
      <c r="D31" s="14" t="s">
        <v>33</v>
      </c>
      <c r="E31" s="20" t="s">
        <v>21</v>
      </c>
      <c r="F31" s="15" t="s">
        <v>34</v>
      </c>
    </row>
    <row r="32" customFormat="false" ht="15" hidden="false" customHeight="false" outlineLevel="0" collapsed="false">
      <c r="A32" s="18" t="s">
        <v>100</v>
      </c>
      <c r="B32" s="19" t="s">
        <v>94</v>
      </c>
      <c r="C32" s="19" t="s">
        <v>101</v>
      </c>
      <c r="D32" s="18" t="s">
        <v>33</v>
      </c>
      <c r="E32" s="16" t="s">
        <v>20</v>
      </c>
      <c r="F32" s="19" t="s">
        <v>58</v>
      </c>
    </row>
    <row r="33" customFormat="false" ht="15" hidden="false" customHeight="false" outlineLevel="0" collapsed="false">
      <c r="A33" s="18" t="s">
        <v>102</v>
      </c>
      <c r="B33" s="19" t="s">
        <v>94</v>
      </c>
      <c r="C33" s="19" t="s">
        <v>103</v>
      </c>
      <c r="D33" s="18" t="s">
        <v>57</v>
      </c>
      <c r="E33" s="20" t="s">
        <v>21</v>
      </c>
      <c r="F33" s="19" t="s">
        <v>58</v>
      </c>
    </row>
    <row r="34" customFormat="false" ht="15" hidden="false" customHeight="false" outlineLevel="0" collapsed="false">
      <c r="A34" s="18" t="s">
        <v>104</v>
      </c>
      <c r="B34" s="19" t="s">
        <v>94</v>
      </c>
      <c r="C34" s="19" t="s">
        <v>105</v>
      </c>
      <c r="D34" s="18" t="s">
        <v>57</v>
      </c>
      <c r="E34" s="20" t="s">
        <v>21</v>
      </c>
      <c r="F34" s="19" t="s">
        <v>58</v>
      </c>
    </row>
    <row r="35" customFormat="false" ht="15" hidden="false" customHeight="false" outlineLevel="0" collapsed="false">
      <c r="A35" s="14" t="s">
        <v>106</v>
      </c>
      <c r="B35" s="15" t="s">
        <v>107</v>
      </c>
      <c r="C35" s="15" t="s">
        <v>108</v>
      </c>
      <c r="D35" s="14" t="s">
        <v>33</v>
      </c>
      <c r="E35" s="16" t="s">
        <v>20</v>
      </c>
      <c r="F35" s="15" t="s">
        <v>34</v>
      </c>
    </row>
    <row r="36" customFormat="false" ht="23.85" hidden="false" customHeight="false" outlineLevel="0" collapsed="false">
      <c r="A36" s="14" t="s">
        <v>109</v>
      </c>
      <c r="B36" s="15" t="s">
        <v>107</v>
      </c>
      <c r="C36" s="15" t="s">
        <v>110</v>
      </c>
      <c r="D36" s="14" t="s">
        <v>33</v>
      </c>
      <c r="E36" s="16" t="s">
        <v>20</v>
      </c>
      <c r="F36" s="15" t="s">
        <v>34</v>
      </c>
    </row>
    <row r="37" customFormat="false" ht="23.85" hidden="false" customHeight="false" outlineLevel="0" collapsed="false">
      <c r="A37" s="14" t="s">
        <v>111</v>
      </c>
      <c r="B37" s="15" t="s">
        <v>107</v>
      </c>
      <c r="C37" s="15" t="s">
        <v>112</v>
      </c>
      <c r="D37" s="14" t="s">
        <v>33</v>
      </c>
      <c r="E37" s="20" t="s">
        <v>21</v>
      </c>
      <c r="F37" s="15" t="s">
        <v>34</v>
      </c>
    </row>
    <row r="38" customFormat="false" ht="23.85" hidden="false" customHeight="false" outlineLevel="0" collapsed="false">
      <c r="A38" s="14" t="s">
        <v>113</v>
      </c>
      <c r="B38" s="15" t="s">
        <v>114</v>
      </c>
      <c r="C38" s="15" t="s">
        <v>115</v>
      </c>
      <c r="D38" s="14" t="s">
        <v>116</v>
      </c>
      <c r="E38" s="20" t="s">
        <v>21</v>
      </c>
      <c r="F38" s="15" t="s">
        <v>117</v>
      </c>
    </row>
    <row r="39" customFormat="false" ht="15" hidden="false" customHeight="false" outlineLevel="0" collapsed="false">
      <c r="A39" s="14" t="s">
        <v>118</v>
      </c>
      <c r="B39" s="15" t="s">
        <v>119</v>
      </c>
      <c r="C39" s="15" t="s">
        <v>120</v>
      </c>
      <c r="D39" s="14" t="s">
        <v>54</v>
      </c>
      <c r="E39" s="17" t="s">
        <v>22</v>
      </c>
      <c r="F39" s="15" t="s">
        <v>34</v>
      </c>
    </row>
    <row r="40" customFormat="false" ht="15" hidden="false" customHeight="false" outlineLevel="0" collapsed="false">
      <c r="A40" s="18" t="s">
        <v>121</v>
      </c>
      <c r="B40" s="19" t="s">
        <v>119</v>
      </c>
      <c r="C40" s="19" t="s">
        <v>122</v>
      </c>
      <c r="D40" s="18" t="s">
        <v>57</v>
      </c>
      <c r="E40" s="20" t="s">
        <v>21</v>
      </c>
      <c r="F40" s="19" t="s">
        <v>58</v>
      </c>
    </row>
    <row r="41" customFormat="false" ht="15" hidden="false" customHeight="false" outlineLevel="0" collapsed="false">
      <c r="A41" s="18" t="s">
        <v>123</v>
      </c>
      <c r="B41" s="19" t="s">
        <v>119</v>
      </c>
      <c r="C41" s="19" t="s">
        <v>124</v>
      </c>
      <c r="D41" s="18" t="s">
        <v>54</v>
      </c>
      <c r="E41" s="17" t="s">
        <v>22</v>
      </c>
      <c r="F41" s="19" t="s">
        <v>58</v>
      </c>
    </row>
    <row r="42" customFormat="false" ht="23.85" hidden="false" customHeight="false" outlineLevel="0" collapsed="false">
      <c r="A42" s="18" t="s">
        <v>125</v>
      </c>
      <c r="B42" s="19" t="s">
        <v>119</v>
      </c>
      <c r="C42" s="19" t="s">
        <v>126</v>
      </c>
      <c r="D42" s="18" t="s">
        <v>54</v>
      </c>
      <c r="E42" s="17" t="s">
        <v>22</v>
      </c>
      <c r="F42" s="19" t="s">
        <v>58</v>
      </c>
    </row>
    <row r="43" customFormat="false" ht="23.85" hidden="false" customHeight="false" outlineLevel="0" collapsed="false">
      <c r="A43" s="14" t="s">
        <v>127</v>
      </c>
      <c r="B43" s="15" t="s">
        <v>128</v>
      </c>
      <c r="C43" s="15" t="s">
        <v>129</v>
      </c>
      <c r="D43" s="14" t="s">
        <v>57</v>
      </c>
      <c r="E43" s="21" t="s">
        <v>23</v>
      </c>
      <c r="F43" s="1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30" hidden="false" customHeight="true" outlineLevel="0" collapsed="false">
      <c r="A1" s="13" t="s">
        <v>24</v>
      </c>
      <c r="B1" s="13" t="s">
        <v>130</v>
      </c>
      <c r="C1" s="13" t="s">
        <v>26</v>
      </c>
      <c r="D1" s="13" t="s">
        <v>27</v>
      </c>
      <c r="E1" s="13" t="s">
        <v>28</v>
      </c>
      <c r="F1" s="13" t="s">
        <v>29</v>
      </c>
    </row>
    <row r="2" customFormat="false" ht="15" hidden="false" customHeight="false" outlineLevel="0" collapsed="false">
      <c r="A2" s="14" t="s">
        <v>131</v>
      </c>
      <c r="B2" s="15" t="s">
        <v>132</v>
      </c>
      <c r="C2" s="15" t="s">
        <v>133</v>
      </c>
      <c r="D2" s="14" t="s">
        <v>33</v>
      </c>
      <c r="E2" s="16" t="s">
        <v>20</v>
      </c>
      <c r="F2" s="15" t="s">
        <v>34</v>
      </c>
    </row>
    <row r="3" customFormat="false" ht="15" hidden="false" customHeight="false" outlineLevel="0" collapsed="false">
      <c r="A3" s="14" t="s">
        <v>134</v>
      </c>
      <c r="B3" s="15" t="s">
        <v>132</v>
      </c>
      <c r="C3" s="15" t="s">
        <v>135</v>
      </c>
      <c r="D3" s="14" t="s">
        <v>33</v>
      </c>
      <c r="E3" s="16" t="s">
        <v>20</v>
      </c>
      <c r="F3" s="15" t="s">
        <v>34</v>
      </c>
    </row>
    <row r="4" customFormat="false" ht="23.85" hidden="false" customHeight="false" outlineLevel="0" collapsed="false">
      <c r="A4" s="14" t="s">
        <v>136</v>
      </c>
      <c r="B4" s="15" t="s">
        <v>132</v>
      </c>
      <c r="C4" s="15" t="s">
        <v>137</v>
      </c>
      <c r="D4" s="14" t="s">
        <v>33</v>
      </c>
      <c r="E4" s="16" t="s">
        <v>20</v>
      </c>
      <c r="F4" s="15" t="s">
        <v>34</v>
      </c>
    </row>
    <row r="5" customFormat="false" ht="15" hidden="false" customHeight="false" outlineLevel="0" collapsed="false">
      <c r="A5" s="14" t="s">
        <v>138</v>
      </c>
      <c r="B5" s="15" t="s">
        <v>139</v>
      </c>
      <c r="C5" s="15" t="s">
        <v>140</v>
      </c>
      <c r="D5" s="14" t="s">
        <v>57</v>
      </c>
      <c r="E5" s="16" t="s">
        <v>20</v>
      </c>
      <c r="F5" s="15" t="s">
        <v>34</v>
      </c>
    </row>
    <row r="6" customFormat="false" ht="23.85" hidden="false" customHeight="false" outlineLevel="0" collapsed="false">
      <c r="A6" s="14" t="s">
        <v>141</v>
      </c>
      <c r="B6" s="15" t="s">
        <v>139</v>
      </c>
      <c r="C6" s="15" t="s">
        <v>142</v>
      </c>
      <c r="D6" s="14" t="s">
        <v>57</v>
      </c>
      <c r="E6" s="16" t="s">
        <v>20</v>
      </c>
      <c r="F6" s="15" t="s">
        <v>34</v>
      </c>
    </row>
    <row r="7" customFormat="false" ht="23.85" hidden="false" customHeight="false" outlineLevel="0" collapsed="false">
      <c r="A7" s="14" t="s">
        <v>143</v>
      </c>
      <c r="B7" s="15" t="s">
        <v>144</v>
      </c>
      <c r="C7" s="15" t="s">
        <v>145</v>
      </c>
      <c r="D7" s="14" t="s">
        <v>33</v>
      </c>
      <c r="E7" s="16" t="s">
        <v>20</v>
      </c>
      <c r="F7" s="15" t="s">
        <v>34</v>
      </c>
    </row>
    <row r="8" customFormat="false" ht="23.85" hidden="false" customHeight="false" outlineLevel="0" collapsed="false">
      <c r="A8" s="14" t="s">
        <v>146</v>
      </c>
      <c r="B8" s="15" t="s">
        <v>139</v>
      </c>
      <c r="C8" s="15" t="s">
        <v>147</v>
      </c>
      <c r="D8" s="14" t="s">
        <v>57</v>
      </c>
      <c r="E8" s="20" t="s">
        <v>21</v>
      </c>
      <c r="F8" s="15" t="s">
        <v>34</v>
      </c>
    </row>
    <row r="9" customFormat="false" ht="15" hidden="false" customHeight="false" outlineLevel="0" collapsed="false">
      <c r="A9" s="14" t="s">
        <v>148</v>
      </c>
      <c r="B9" s="15" t="s">
        <v>149</v>
      </c>
      <c r="C9" s="15" t="s">
        <v>150</v>
      </c>
      <c r="D9" s="14" t="s">
        <v>33</v>
      </c>
      <c r="E9" s="20" t="s">
        <v>21</v>
      </c>
      <c r="F9" s="15" t="s">
        <v>34</v>
      </c>
    </row>
    <row r="10" customFormat="false" ht="15" hidden="false" customHeight="false" outlineLevel="0" collapsed="false">
      <c r="A10" s="14" t="s">
        <v>151</v>
      </c>
      <c r="B10" s="15" t="s">
        <v>152</v>
      </c>
      <c r="C10" s="15" t="s">
        <v>153</v>
      </c>
      <c r="D10" s="14" t="s">
        <v>33</v>
      </c>
      <c r="E10" s="16" t="s">
        <v>20</v>
      </c>
      <c r="F10" s="15" t="s">
        <v>34</v>
      </c>
    </row>
    <row r="11" customFormat="false" ht="23.85" hidden="false" customHeight="false" outlineLevel="0" collapsed="false">
      <c r="A11" s="14" t="s">
        <v>154</v>
      </c>
      <c r="B11" s="15" t="s">
        <v>155</v>
      </c>
      <c r="C11" s="15" t="s">
        <v>156</v>
      </c>
      <c r="D11" s="14" t="s">
        <v>33</v>
      </c>
      <c r="E11" s="16" t="s">
        <v>20</v>
      </c>
      <c r="F11" s="15" t="s">
        <v>34</v>
      </c>
    </row>
    <row r="12" customFormat="false" ht="15" hidden="false" customHeight="false" outlineLevel="0" collapsed="false">
      <c r="A12" s="18" t="s">
        <v>157</v>
      </c>
      <c r="B12" s="19" t="s">
        <v>158</v>
      </c>
      <c r="C12" s="19" t="s">
        <v>159</v>
      </c>
      <c r="D12" s="18" t="s">
        <v>57</v>
      </c>
      <c r="E12" s="20" t="s">
        <v>21</v>
      </c>
      <c r="F12" s="19" t="s">
        <v>58</v>
      </c>
    </row>
    <row r="13" customFormat="false" ht="15" hidden="false" customHeight="false" outlineLevel="0" collapsed="false">
      <c r="A13" s="18" t="s">
        <v>160</v>
      </c>
      <c r="B13" s="19" t="s">
        <v>158</v>
      </c>
      <c r="C13" s="19" t="s">
        <v>161</v>
      </c>
      <c r="D13" s="18" t="s">
        <v>57</v>
      </c>
      <c r="E13" s="20" t="s">
        <v>21</v>
      </c>
      <c r="F13" s="19" t="s">
        <v>58</v>
      </c>
    </row>
    <row r="14" customFormat="false" ht="23.85" hidden="false" customHeight="false" outlineLevel="0" collapsed="false">
      <c r="A14" s="18" t="s">
        <v>162</v>
      </c>
      <c r="B14" s="19" t="s">
        <v>158</v>
      </c>
      <c r="C14" s="19" t="s">
        <v>163</v>
      </c>
      <c r="D14" s="18" t="s">
        <v>57</v>
      </c>
      <c r="E14" s="17" t="s">
        <v>22</v>
      </c>
      <c r="F14" s="19" t="s">
        <v>58</v>
      </c>
    </row>
    <row r="15" customFormat="false" ht="15" hidden="false" customHeight="false" outlineLevel="0" collapsed="false">
      <c r="A15" s="18" t="s">
        <v>164</v>
      </c>
      <c r="B15" s="19" t="s">
        <v>149</v>
      </c>
      <c r="C15" s="19" t="s">
        <v>165</v>
      </c>
      <c r="D15" s="18" t="s">
        <v>54</v>
      </c>
      <c r="E15" s="17" t="s">
        <v>22</v>
      </c>
      <c r="F15" s="19" t="s">
        <v>58</v>
      </c>
    </row>
    <row r="16" customFormat="false" ht="15" hidden="false" customHeight="false" outlineLevel="0" collapsed="false">
      <c r="A16" s="18" t="s">
        <v>166</v>
      </c>
      <c r="B16" s="19" t="s">
        <v>167</v>
      </c>
      <c r="C16" s="19" t="s">
        <v>168</v>
      </c>
      <c r="D16" s="18" t="s">
        <v>54</v>
      </c>
      <c r="E16" s="17" t="s">
        <v>22</v>
      </c>
      <c r="F16" s="19" t="s">
        <v>58</v>
      </c>
    </row>
    <row r="17" customFormat="false" ht="15" hidden="false" customHeight="false" outlineLevel="0" collapsed="false">
      <c r="A17" s="18" t="s">
        <v>169</v>
      </c>
      <c r="B17" s="19" t="s">
        <v>170</v>
      </c>
      <c r="C17" s="19" t="s">
        <v>171</v>
      </c>
      <c r="D17" s="18" t="s">
        <v>57</v>
      </c>
      <c r="E17" s="20" t="s">
        <v>21</v>
      </c>
      <c r="F17" s="19" t="s">
        <v>58</v>
      </c>
    </row>
    <row r="18" customFormat="false" ht="23.85" hidden="false" customHeight="false" outlineLevel="0" collapsed="false">
      <c r="A18" s="18" t="s">
        <v>172</v>
      </c>
      <c r="B18" s="19" t="s">
        <v>155</v>
      </c>
      <c r="C18" s="19" t="s">
        <v>173</v>
      </c>
      <c r="D18" s="18" t="s">
        <v>33</v>
      </c>
      <c r="E18" s="16" t="s">
        <v>20</v>
      </c>
      <c r="F18" s="19" t="s">
        <v>58</v>
      </c>
    </row>
    <row r="19" customFormat="false" ht="15" hidden="false" customHeight="false" outlineLevel="0" collapsed="false">
      <c r="A19" s="18" t="s">
        <v>174</v>
      </c>
      <c r="B19" s="19" t="s">
        <v>175</v>
      </c>
      <c r="C19" s="19" t="s">
        <v>176</v>
      </c>
      <c r="D19" s="18" t="s">
        <v>33</v>
      </c>
      <c r="E19" s="16" t="s">
        <v>20</v>
      </c>
      <c r="F19" s="19" t="s">
        <v>58</v>
      </c>
    </row>
    <row r="20" customFormat="false" ht="23.85" hidden="false" customHeight="false" outlineLevel="0" collapsed="false">
      <c r="A20" s="18" t="s">
        <v>177</v>
      </c>
      <c r="B20" s="19" t="s">
        <v>144</v>
      </c>
      <c r="C20" s="19" t="s">
        <v>178</v>
      </c>
      <c r="D20" s="18" t="s">
        <v>57</v>
      </c>
      <c r="E20" s="20" t="s">
        <v>21</v>
      </c>
      <c r="F20" s="19" t="s">
        <v>58</v>
      </c>
    </row>
    <row r="21" customFormat="false" ht="23.85" hidden="false" customHeight="false" outlineLevel="0" collapsed="false">
      <c r="A21" s="18" t="s">
        <v>179</v>
      </c>
      <c r="B21" s="19" t="s">
        <v>167</v>
      </c>
      <c r="C21" s="19" t="s">
        <v>180</v>
      </c>
      <c r="D21" s="18" t="s">
        <v>54</v>
      </c>
      <c r="E21" s="17" t="s">
        <v>22</v>
      </c>
      <c r="F21" s="19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2026-08-21T13:01:35Z</dcterms:created>
  <dc:creator>openpyxl</dc:creator>
  <dc:description/>
  <dc:language>en-US</dc:language>
  <cp:lastModifiedBy/>
  <dcterms:modified xsi:type="dcterms:W3CDTF">2026-08-21T13:01:35Z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