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do Escopo" sheetId="1" state="visible" r:id="rId3"/>
    <sheet name="Usuario x Tela x Funcionalida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<sst xmlns="http://schemas.openxmlformats.org/spreadsheetml/2006/main" count="226" uniqueCount="150">
  <si>
    <t xml:space="preserve">RoomMatch — Separação de escopo: MVP x Plus</t>
  </si>
  <si>
    <t xml:space="preserve">Regra usada: é MVP se o fluxo ponta a ponta (cadastro → ver imóvel → afinidade → favoritar → conversar) quebra sem a tela. Todo o resto é Plus.</t>
  </si>
  <si>
    <t xml:space="preserve">Telas por tipo de usuário</t>
  </si>
  <si>
    <t xml:space="preserve">Tipo de usuário</t>
  </si>
  <si>
    <t xml:space="preserve">MVP</t>
  </si>
  <si>
    <t xml:space="preserve">Plus</t>
  </si>
  <si>
    <t xml:space="preserve">Total</t>
  </si>
  <si>
    <t xml:space="preserve">% MVP</t>
  </si>
  <si>
    <t xml:space="preserve">Admin</t>
  </si>
  <si>
    <t xml:space="preserve">Locador</t>
  </si>
  <si>
    <t xml:space="preserve">Locatário</t>
  </si>
  <si>
    <t xml:space="preserve">TOTAL</t>
  </si>
  <si>
    <t xml:space="preserve">Como ler esta planilha</t>
  </si>
  <si>
    <t xml:space="preserve">• MVP = tem que estar de pé na entrega. Se qualquer uma destas telas faltar, o fluxo principal não fecha.</t>
  </si>
  <si>
    <t xml:space="preserve">• Plus = só depois que o MVP estiver funcionando e testado. Nenhum item Plus bloqueia outro item MVP.</t>
  </si>
  <si>
    <t xml:space="preserve">• A coluna E explica o corte tela a tela e, quando a tela é MVP mas tem função pesada dentro dela, diz qual pedaço foi empurrado para o Plus.</t>
  </si>
  <si>
    <t xml:space="preserve">Cortes parciais dentro de telas MVP (atenção na hora de programar)</t>
  </si>
  <si>
    <t xml:space="preserve">• RF26 — exibição no mapa (dentro do Mural): Should → deixar para o Plus.</t>
  </si>
  <si>
    <t xml:space="preserve">• RF37 — comparar até 3 imóveis (dentro de Favoritos / Imóvel expandido): Should → Plus.</t>
  </si>
  <si>
    <t xml:space="preserve">• RF36 — compartilhar WhatsApp (dentro do Chat): Should → Plus.</t>
  </si>
  <si>
    <t xml:space="preserve">• RF10 — reputação do usuário (dentro do Perfil): Could → Plus.</t>
  </si>
  <si>
    <t xml:space="preserve">• RF38 — selo de status de moderação (dentro de Meus Anúncios): Could → Plus.</t>
  </si>
  <si>
    <t xml:space="preserve">Três pontos para o grupo decidir</t>
  </si>
  <si>
    <t xml:space="preserve">1. Módulo Admin inteiro ficou Plus. Se a banca exigir painel administrativo na entrega, subir só 'Denúncias e Bloqueios' para MVP.</t>
  </si>
  <si>
    <t xml:space="preserve">2. As telas 'Notificações' viraram Plus; no MVP o RF35 é atendido por badge in-app no chat. Confirmar se isso satisfaz o requisito.</t>
  </si>
  <si>
    <t xml:space="preserve">3. RF28/RF29/RF31 (mobilidade GTFS) estão em telas MVP, mas são o maior risco técnico. Fazer o spike de GTFS antes de prometer a funcionalidade.</t>
  </si>
  <si>
    <t xml:space="preserve">Usuário</t>
  </si>
  <si>
    <t xml:space="preserve">Tela</t>
  </si>
  <si>
    <t xml:space="preserve">Funcionalidade (Requisitos Funcionais)</t>
  </si>
  <si>
    <t xml:space="preserve">Escopo (MVP / Plus)</t>
  </si>
  <si>
    <t xml:space="preserve">Por que — e o que fica de fora</t>
  </si>
  <si>
    <t xml:space="preserve">Tela inicial</t>
  </si>
  <si>
    <t xml:space="preserve">• Acesso administrativo (RNF07 — controle de acesso por papéis)</t>
  </si>
  <si>
    <t xml:space="preserve">Módulo Admin inteiro fora do MVP: em 3 meses a moderação pode ser feita direto no banco. RNF07 (papéis) é Should.</t>
  </si>
  <si>
    <t xml:space="preserve">Login (administrador)</t>
  </si>
  <si>
    <t xml:space="preserve">• RF03 — Login (autenticação) por e-mail e senha
• RNF07 — Papel de Administrador</t>
  </si>
  <si>
    <t xml:space="preserve">Só faz sentido se o painel existir. O RF03 (login) já é entregue no fluxo comum de usuário.</t>
  </si>
  <si>
    <t xml:space="preserve">Painel Administrativo</t>
  </si>
  <si>
    <t xml:space="preserve">• RF41 — Indicadores de uso da plataforma</t>
  </si>
  <si>
    <t xml:space="preserve">RF41 é Could. Nenhum fluxo de locador ou locatário depende desta tela para funcionar.</t>
  </si>
  <si>
    <t xml:space="preserve">Fila de Moderação</t>
  </si>
  <si>
    <t xml:space="preserve">• RF38 — Aprovação prévia de novos anúncios</t>
  </si>
  <si>
    <t xml:space="preserve">RF38 é Could. No MVP o anúncio é publicado direto, sem fila de aprovação.</t>
  </si>
  <si>
    <t xml:space="preserve">Anúncio em Análise</t>
  </si>
  <si>
    <t xml:space="preserve">• RF38 — Aprovar ou reprovar publicação</t>
  </si>
  <si>
    <t xml:space="preserve">Tela de ação da fila de moderação (RF38, Could). Cai junto com a fila.</t>
  </si>
  <si>
    <t xml:space="preserve">Denúncias e Bloqueios</t>
  </si>
  <si>
    <t xml:space="preserve">• RF11 — Denúncia e bloqueio de perfis
• RF39 — Remoção de perfis/anúncios denunciados</t>
  </si>
  <si>
    <t xml:space="preserve">Prioridade nº 1 dentro do Plus: RF11/RF39 são Should e atacam a ameaça de anúncio falso mapeada na SWOT. Paliativo no MVP: botão 'denunciar' que dispara e-mail para a equipe.</t>
  </si>
  <si>
    <t xml:space="preserve">Perfil Denunciado</t>
  </si>
  <si>
    <t xml:space="preserve">• RF39 — Revisar, remover ou banir</t>
  </si>
  <si>
    <t xml:space="preserve">Tela de decisão sobre a denúncia (RF39, Should). Depende da tela anterior.</t>
  </si>
  <si>
    <t xml:space="preserve">Indicadores de Uso</t>
  </si>
  <si>
    <t xml:space="preserve">• RF41 — Nº de matches, anúncios ativos, bairros com maior demanda</t>
  </si>
  <si>
    <t xml:space="preserve">RF41 é Could. Para a apresentação, os números saem de uma consulta SQL manual.</t>
  </si>
  <si>
    <t xml:space="preserve">Log de Ações</t>
  </si>
  <si>
    <t xml:space="preserve">• RF40 — Registro (log) de ações administrativas</t>
  </si>
  <si>
    <t xml:space="preserve">RF40 é Could e só existe se houver ações administrativas na interface.</t>
  </si>
  <si>
    <t xml:space="preserve">Perfil (dados da conta admin)</t>
  </si>
  <si>
    <t xml:space="preserve">• RF05 — Editar/excluir conta
• RF06 — Foto de perfil</t>
  </si>
  <si>
    <t xml:space="preserve">Reaproveita o componente de Perfil já feito; entra junto com o painel.</t>
  </si>
  <si>
    <t xml:space="preserve">Segurança</t>
  </si>
  <si>
    <t xml:space="preserve">• RNF04 — Hash de senha (bcrypt/argon2)
• RNF05 — Criptografia em trânsito/repouso
• RNF06 — Conformidade LGPD</t>
  </si>
  <si>
    <t xml:space="preserve">Atenção: RNF04/05/06 valem desde o dia 1 no back-end. O que é Plus aqui é a TELA, não a regra de segurança.</t>
  </si>
  <si>
    <t xml:space="preserve">Notificações</t>
  </si>
  <si>
    <t xml:space="preserve">• RF35 — Alertas (denúncias novas, anúncios pendentes)</t>
  </si>
  <si>
    <t xml:space="preserve">Alertas internos de moderação — dependem do painel existir.</t>
  </si>
  <si>
    <t xml:space="preserve">Termos (termos de uso)</t>
  </si>
  <si>
    <t xml:space="preserve">• RNF06 — Conformidade LGPD</t>
  </si>
  <si>
    <t xml:space="preserve">Mesma página estática do usuário comum; só a rota dentro do admin é nova.</t>
  </si>
  <si>
    <t xml:space="preserve">• Ponto de entrada (RNF01 — responsivo mobile-first)</t>
  </si>
  <si>
    <t xml:space="preserve">Porta de entrada pública do produto e base do RNF01 (mobile-first).</t>
  </si>
  <si>
    <t xml:space="preserve">Anúncio expandido (preview, com blur)</t>
  </si>
  <si>
    <t xml:space="preserve">• RF20 — Anúncio publicado (visualização)
• RF21 — Rateio (parcial)
• RF22 — Fotos (parcial)
• RF23 — Perfil dos moradores (parcial)</t>
  </si>
  <si>
    <t xml:space="preserve">É o MESMO componente da tela do locatário em estado deslogado — o blur é o gatilho de cadastro. Não construir duas telas.</t>
  </si>
  <si>
    <t xml:space="preserve">Perfil (entrar ou cadastrar)</t>
  </si>
  <si>
    <t xml:space="preserve">• RF01 — Cadastro com papéis
• RF02 — Cadastro por e-mail
• RF03 — Login</t>
  </si>
  <si>
    <t xml:space="preserve">RF01, RF02 e RF03 são Must. Sem isso não há usuário.</t>
  </si>
  <si>
    <t xml:space="preserve">Configurações (menu)</t>
  </si>
  <si>
    <t xml:space="preserve">• Ponto de entrada para a área logada</t>
  </si>
  <si>
    <t xml:space="preserve">Hub de navegação da área logada; sem ele as telas de conta ficam órfãs.</t>
  </si>
  <si>
    <t xml:space="preserve">Já tem cadastro? (pop-up)</t>
  </si>
  <si>
    <t xml:space="preserve">• Decisão de UI — sem RF próprio</t>
  </si>
  <si>
    <t xml:space="preserve">Não tem RF próprio (decisão de UI). No MVP, um link 'já tenho conta' dentro da tela de Cadastro resolve o mesmo problema.</t>
  </si>
  <si>
    <t xml:space="preserve">Cadastro (novo usuário — Locador)</t>
  </si>
  <si>
    <t xml:space="preserve">• RF01 — Cadastro com papéis
• RF02 — Cadastro por e-mail</t>
  </si>
  <si>
    <t xml:space="preserve">Sem locador cadastrado não existe anúncio — é metade do produto.</t>
  </si>
  <si>
    <t xml:space="preserve">Login</t>
  </si>
  <si>
    <t xml:space="preserve">• RF03 — Login
• RF04 — Recuperação de senha</t>
  </si>
  <si>
    <t xml:space="preserve">RF03 (login) e RF04 (recuperação de senha) são Must.</t>
  </si>
  <si>
    <t xml:space="preserve">Meus Anúncios (sem blur)</t>
  </si>
  <si>
    <t xml:space="preserve">• RF20 — Anúncios publicados
• RF21 — Rateio completo
• RF22 — Fotos completas
• RF23 — Perfil dos moradores atuais
• RF38 — Status de moderação (em análise/aprovado)</t>
  </si>
  <si>
    <t xml:space="preserve">O locador precisa ver e editar o que publicou. O selo de status de moderação (RF38) fica para o Plus.</t>
  </si>
  <si>
    <t xml:space="preserve">Chat com Candidatos</t>
  </si>
  <si>
    <t xml:space="preserve">• RF27 — Contato direto
• RF34 — Chat interno
• RF35 — Notificações de mensagens
• RF36 — Compartilhar contato externo (consentimento)</t>
  </si>
  <si>
    <t xml:space="preserve">RF27/RF34/RF35 são Must — é o fecho do funil. RF36 (compartilhar WhatsApp) fica para o Plus.</t>
  </si>
  <si>
    <t xml:space="preserve">Dados pessoais</t>
  </si>
  <si>
    <t xml:space="preserve">• RF02 — Cadastro (parte)
• RF06 — Foto de perfil
• RF09 — Ocupação/empresa</t>
  </si>
  <si>
    <t xml:space="preserve">Etapa do cadastro progressivo (RF02, RF06, RF09).</t>
  </si>
  <si>
    <t xml:space="preserve">Dados do Imóvel</t>
  </si>
  <si>
    <t xml:space="preserve">• RF20 — Cadastro de imóvel
• RF21 — Rateio
• RF22 — Fotos</t>
  </si>
  <si>
    <t xml:space="preserve">Etapa do cadastro do anúncio (RF20, RF21, RF22).</t>
  </si>
  <si>
    <t xml:space="preserve">Termos (cadastro)</t>
  </si>
  <si>
    <t xml:space="preserve">Consentimento LGPD (RNF06) é Must e não pode ser adiado para depois da entrega.</t>
  </si>
  <si>
    <t xml:space="preserve">Perfil (dados da conta)</t>
  </si>
  <si>
    <t xml:space="preserve">• RF05 — Editar/excluir conta
• RF06 — Foto de perfil
• RF09 — Dados profissionais
• RF10 — Reputação do usuário</t>
  </si>
  <si>
    <t xml:space="preserve">RF05 (editar/excluir conta) é exigência direta de LGPD. RF10 (reputação, Could) sai desta tela e vira Plus.</t>
  </si>
  <si>
    <t xml:space="preserve">Publicar Anúncio</t>
  </si>
  <si>
    <t xml:space="preserve">• RF20 — Publicar anúncio
• RF21 — Rateio transparente
• RF22 — Múltiplas fotos
• RF23 — Perfil dos moradores</t>
  </si>
  <si>
    <t xml:space="preserve">Núcleo do lado da oferta (RF20 a RF23).</t>
  </si>
  <si>
    <t xml:space="preserve">Candidatos</t>
  </si>
  <si>
    <t xml:space="preserve">• RF15 — % de afinidade
• RF17 — Notificação de match
• RF18 — Histórico
• RF19 — Filtros de convivência</t>
  </si>
  <si>
    <t xml:space="preserve">No MVP a lista de conversas do chat já mostra quem se interessou. A tela dedicada com histórico (RF18, Could) e filtros (RF19, Should) é Plus.</t>
  </si>
  <si>
    <t xml:space="preserve">• RF04 — Alterar senha
• RNF04 — Hash de senha
• RNF05 — Criptografia
• RNF06 — Conformidade LGPD</t>
  </si>
  <si>
    <t xml:space="preserve">Alterar senha (RF04) e excluir dados (RNF06) precisam de um lugar visível na interface.</t>
  </si>
  <si>
    <t xml:space="preserve">• RF17 — Notificação de match
• RF35 — Notificações in-app/e-mail</t>
  </si>
  <si>
    <t xml:space="preserve">A tela de PREFERÊNCIAS de alerta é Plus. No MVP o RF35 se resolve com badge/contador in-app dentro do chat.</t>
  </si>
  <si>
    <t xml:space="preserve">Página estática, custo quase zero e exigida pela LGPD.</t>
  </si>
  <si>
    <t xml:space="preserve">Tela inicial (Mural/CardSwipe)</t>
  </si>
  <si>
    <t xml:space="preserve">• RF12 — Exibir cards em swipe
• RF13 — Curtir
• RF14 — Recusar
• RF15 — Calcular % de afinidade
• RF16 — Definir limiar mínimo
• RF19 — Filtros de convivência
• RF24 — Busca/filtro (bairro, preço, tipo, tags)
• RF26 — Exibição no mapa</t>
  </si>
  <si>
    <t xml:space="preserve">Coração do produto: cards, % de afinidade, limiar e filtros (RF12 a RF16, RF24). Exceção: RF26 (exibição em mapa) é Should e pode sair da 1ª versão.</t>
  </si>
  <si>
    <t xml:space="preserve">Imóvel expandido (com blur)</t>
  </si>
  <si>
    <t xml:space="preserve">• RF21 — Rateio (parcial)
• RF22 — Fotos (parcial)
• RF23 — Resumo do perfil dos moradores</t>
  </si>
  <si>
    <t xml:space="preserve">Mesma tela do 'Imóvel expandido (sem blur)', em estado deslogado — uma tela, dois estados.</t>
  </si>
  <si>
    <t xml:space="preserve">RF01, RF02 e RF03 são Must.</t>
  </si>
  <si>
    <t xml:space="preserve">Hub de navegação da área logada.</t>
  </si>
  <si>
    <t xml:space="preserve">Sem RF próprio. Substituível por um link 'já tenho conta' dentro do Cadastro.</t>
  </si>
  <si>
    <t xml:space="preserve">Cadastro</t>
  </si>
  <si>
    <t xml:space="preserve">Sem locatário cadastrado não há matching — é a outra metade do produto.</t>
  </si>
  <si>
    <t xml:space="preserve">RF03 e RF04 são Must.</t>
  </si>
  <si>
    <t xml:space="preserve">Imóvel expandido (sem blur)</t>
  </si>
  <si>
    <t xml:space="preserve">• RF21 — Rateio completo
• RF22 — Fotos completas
• RF23 — Perfil dos moradores
• RF25 — Favoritar
• RF27 — Contato via chat
• RF28 — Tempo de deslocamento
• RF29 — Distância até destino
• RF37 — Comparar até 3 imóveis</t>
  </si>
  <si>
    <t xml:space="preserve">Rateio, fotos, moradores, favoritar e contato (RF21-RF23, RF25, RF27, RF28/RF29). Duas ressalvas: RF37 (comparar 3 imóveis) vira Plus, e o cálculo GTFS é o maior risco técnico — se o spike falhar, exibir só distância aproximada.</t>
  </si>
  <si>
    <t xml:space="preserve">Chat locador</t>
  </si>
  <si>
    <t xml:space="preserve">• RF27 — Contato direto
• RF34 — Chat interno
• RF35 — Notificação de mensagens
• RF36 — Compartilhar contato externo (consentimento)</t>
  </si>
  <si>
    <t xml:space="preserve">RF27/RF34 são Must. É onde o match vira conversa de verdade.</t>
  </si>
  <si>
    <t xml:space="preserve">• RF02 — Cadastro (parte)
• RF06 — Upload de foto
• RF09 — Ocupação/instituição/renda</t>
  </si>
  <si>
    <t xml:space="preserve">Preferências</t>
  </si>
  <si>
    <t xml:space="preserve">• RF07 — Tags de convivência
• RF08 — Orçamento máximo mensal
• RF16 — Limiar de compatibilidade</t>
  </si>
  <si>
    <t xml:space="preserve">Tags, orçamento e limiar (RF07, RF08, RF16) alimentam o cálculo de afinidade — sem esta tela o matching não existe.</t>
  </si>
  <si>
    <t xml:space="preserve">• RNF06 — Consentimento LGPD</t>
  </si>
  <si>
    <t xml:space="preserve">Consentimento LGPD (RNF06) é Must.</t>
  </si>
  <si>
    <t xml:space="preserve">• RF05 — Editar/excluir conta
• RF06 — Foto de perfil
• RF09 — Ocupação/renda
• RF10 — Reputação do usuário</t>
  </si>
  <si>
    <t xml:space="preserve">RF05 é exigência de LGPD. RF10 (reputação, Could) sai desta tela e vira Plus.</t>
  </si>
  <si>
    <t xml:space="preserve">Favoritos</t>
  </si>
  <si>
    <t xml:space="preserve">• RF25 — Favoritar/salvar anúncios
• RF37 — Comparador lado a lado</t>
  </si>
  <si>
    <t xml:space="preserve">RF25 (favoritar) é Must. O comparador lado a lado (RF37, Should) dentro dela fica para o Plus.</t>
  </si>
  <si>
    <t xml:space="preserve">• RF04 — Alterar senha
• RNF04 — Hash de senha
• RNF05 — Criptografia
• RNF06 — Exclusão de dados (LGPD)</t>
  </si>
  <si>
    <t xml:space="preserve">Alterar senha (RF04) e excluir dados (RNF06) precisam de lugar na interface.</t>
  </si>
  <si>
    <t xml:space="preserve">Tela de preferências de alerta. No MVP, badge in-app no chat cobre o RF35.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</si>
</sst>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D2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6B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6B4A"/>
      <name val="Arial"/>
      <family val="0"/>
      <charset val="1"/>
    </font>
    <font>
      <b val="true"/>
      <sz val="10"/>
      <color rgb="FFB0432A"/>
      <name val="Arial"/>
      <family val="0"/>
      <charset val="1"/>
    </font>
    <font>
      <b val="true"/>
      <sz val="13"/>
      <color rgb="FF3D3480"/>
      <name val="Arial"/>
      <family val="0"/>
      <charset val="1"/>
    </font>
    <font>
      <b val="true"/>
      <sz val="10"/>
      <color rgb="FF1F6B4A"/>
      <name val="Arial"/>
      <family val="0"/>
      <charset val="1"/>
    </font>
    <font>
      <b val="true"/>
      <sz val="13"/>
      <color rgb="FF2B292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41D22"/>
        <bgColor rgb="FF2B2926"/>
      </patternFill>
    </fill>
    <fill>
      <patternFill patternType="solid">
        <fgColor rgb="FFEFEFEF"/>
        <bgColor rgb="FFF1EFE8"/>
      </patternFill>
    </fill>
    <fill>
      <patternFill patternType="solid">
        <fgColor rgb="FFE1F5EE"/>
        <bgColor rgb="FFD9F2E6"/>
      </patternFill>
    </fill>
    <fill>
      <patternFill patternType="solid">
        <fgColor rgb="FFFDE7DF"/>
        <bgColor rgb="FFF1EFE8"/>
      </patternFill>
    </fill>
    <fill>
      <patternFill patternType="solid">
        <fgColor rgb="FFEEEDFE"/>
        <bgColor rgb="FFEFEFEF"/>
      </patternFill>
    </fill>
    <fill>
      <patternFill patternType="solid">
        <fgColor rgb="FFD9F2E6"/>
        <bgColor rgb="FFE1F5EE"/>
      </patternFill>
    </fill>
    <fill>
      <patternFill patternType="solid">
        <fgColor rgb="FFF1EFE8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A"/>
      <rgbColor rgb="FFBFBFBF"/>
      <rgbColor rgb="FF878787"/>
      <rgbColor rgb="FF9999FF"/>
      <rgbColor rgb="FF993366"/>
      <rgbColor rgb="FFF1EFE8"/>
      <rgbColor rgb="FFD9F2E6"/>
      <rgbColor rgb="FF660066"/>
      <rgbColor rgb="FFF0807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F5EE"/>
      <rgbColor rgb="FFEFEFEF"/>
      <rgbColor rgb="FFFDE7DF"/>
      <rgbColor rgb="FFB8B8B8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5EA38F"/>
      <rgbColor rgb="FF141D22"/>
      <rgbColor rgb="FF333300"/>
      <rgbColor rgb="FFB0432A"/>
      <rgbColor rgb="FF993366"/>
      <rgbColor rgb="FF3D3480"/>
      <rgbColor rgb="FF2B29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Telas MVP x Plus por tipo de usuário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'Resumo do Escopo'!C6</c:f>
              <c:strCache>
                <c:ptCount val="1"/>
                <c:pt idx="0">
                  <c:v>MVP</c:v>
                </c:pt>
              </c:strCache>
            </c:strRef>
          </c:tx>
          <c:spPr>
            <a:solidFill>
              <a:srgbClr val="5ea3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Escopo'!$B$7:$B$9</c:f>
              <c:strCache>
                <c:ptCount val="3"/>
                <c:pt idx="0">
                  <c:v>Admin</c:v>
                </c:pt>
                <c:pt idx="1">
                  <c:v>Locador</c:v>
                </c:pt>
                <c:pt idx="2">
                  <c:v>Locatário</c:v>
                </c:pt>
              </c:strCache>
            </c:strRef>
          </c:cat>
          <c:val>
            <c:numRef>
              <c:f>'Resumo do Escopo'!$C$7:$C$9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'Resumo do Escopo'!D6</c:f>
              <c:strCache>
                <c:ptCount val="1"/>
                <c:pt idx="0">
                  <c:v>Plus</c:v>
                </c:pt>
              </c:strCache>
            </c:strRef>
          </c:tx>
          <c:spPr>
            <a:solidFill>
              <a:srgbClr val="f0807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do Escopo'!$B$7:$B$9</c:f>
              <c:strCache>
                <c:ptCount val="3"/>
                <c:pt idx="0">
                  <c:v>Admin</c:v>
                </c:pt>
                <c:pt idx="1">
                  <c:v>Locador</c:v>
                </c:pt>
                <c:pt idx="2">
                  <c:v>Locatário</c:v>
                </c:pt>
              </c:strCache>
            </c:strRef>
          </c:cat>
          <c:val>
            <c:numRef>
              <c:f>'Resumo do Escopo'!$D$7:$D$9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100"/>
        <c:axId val="46509415"/>
        <c:axId val="14775970"/>
      </c:barChart>
      <c:catAx>
        <c:axId val="46509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75970"/>
        <c:crosses val="autoZero"/>
        <c:auto val="1"/>
        <c:lblAlgn val="ctr"/>
        <c:lblOffset val="100"/>
        <c:noMultiLvlLbl val="0"/>
      </c:catAx>
      <c:valAx>
        <c:axId val="14775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telas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094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160560</xdr:rowOff>
    </xdr:from>
    <xdr:to>
      <xdr:col>6</xdr:col>
      <xdr:colOff>105480</xdr:colOff>
      <xdr:row>26</xdr:row>
      <xdr:rowOff>182880</xdr:rowOff>
    </xdr:to>
    <xdr:graphicFrame>
      <xdr:nvGraphicFramePr>
        <xdr:cNvPr id="0" name="Chart 1"/>
        <xdr:cNvGraphicFramePr/>
      </xdr:nvGraphicFramePr>
      <xdr:xfrm>
        <a:off x="211320" y="2286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6" min="3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false" outlineLevel="0" collapsed="false">
      <c r="B7" s="5" t="s">
        <v>8</v>
      </c>
      <c r="C7" s="6" t="n">
        <f aca="false">COUNTIF('Usuario x Tela x Funcionalidade'!D2:D14,"MVP")</f>
        <v>0</v>
      </c>
      <c r="D7" s="6" t="n">
        <f aca="false">COUNTIF('Usuario x Tela x Funcionalidade'!D2:D14,"Plus")</f>
        <v>13</v>
      </c>
      <c r="E7" s="6" t="n">
        <f aca="false">C7+D7</f>
        <v>13</v>
      </c>
      <c r="F7" s="7" t="n">
        <f aca="false">IFERROR(C7/E7,0)</f>
        <v>0</v>
      </c>
    </row>
    <row r="8" customFormat="false" ht="15" hidden="false" customHeight="false" outlineLevel="0" collapsed="false">
      <c r="B8" s="5" t="s">
        <v>9</v>
      </c>
      <c r="C8" s="6" t="n">
        <f aca="false">COUNTIF('Usuario x Tela x Funcionalidade'!D15:D32,"MVP")</f>
        <v>15</v>
      </c>
      <c r="D8" s="6" t="n">
        <f aca="false">COUNTIF('Usuario x Tela x Funcionalidade'!D15:D32,"Plus")</f>
        <v>3</v>
      </c>
      <c r="E8" s="6" t="n">
        <f aca="false">C8+D8</f>
        <v>18</v>
      </c>
      <c r="F8" s="7" t="n">
        <f aca="false">IFERROR(C8/E8,0)</f>
        <v>0.833333333333333</v>
      </c>
    </row>
    <row r="9" customFormat="false" ht="15" hidden="false" customHeight="false" outlineLevel="0" collapsed="false">
      <c r="B9" s="5" t="s">
        <v>10</v>
      </c>
      <c r="C9" s="6" t="n">
        <f aca="false">COUNTIF('Usuario x Tela x Funcionalidade'!D33:D49,"MVP")</f>
        <v>15</v>
      </c>
      <c r="D9" s="6" t="n">
        <f aca="false">COUNTIF('Usuario x Tela x Funcionalidade'!D33:D49,"Plus")</f>
        <v>2</v>
      </c>
      <c r="E9" s="6" t="n">
        <f aca="false">C9+D9</f>
        <v>17</v>
      </c>
      <c r="F9" s="7" t="n">
        <f aca="false">IFERROR(C9/E9,0)</f>
        <v>0.882352941176471</v>
      </c>
    </row>
    <row r="10" customFormat="false" ht="15" hidden="false" customHeight="false" outlineLevel="0" collapsed="false">
      <c r="B10" s="8" t="s">
        <v>11</v>
      </c>
      <c r="C10" s="9" t="n">
        <f aca="false">SUM(C7:C9)</f>
        <v>30</v>
      </c>
      <c r="D10" s="9" t="n">
        <f aca="false">SUM(D7:D9)</f>
        <v>18</v>
      </c>
      <c r="E10" s="9" t="n">
        <f aca="false">SUM(E7:E9)</f>
        <v>48</v>
      </c>
      <c r="F10" s="10" t="n">
        <f aca="false">IFERROR(C10/E10,0)</f>
        <v>0.625</v>
      </c>
    </row>
    <row r="33" customFormat="false" ht="15" hidden="false" customHeight="false" outlineLevel="0" collapsed="false">
      <c r="B33" s="11" t="s">
        <v>12</v>
      </c>
    </row>
    <row r="34" customFormat="false" ht="15" hidden="false" customHeight="false" outlineLevel="0" collapsed="false">
      <c r="B34" s="12" t="s">
        <v>13</v>
      </c>
    </row>
    <row r="35" customFormat="false" ht="15" hidden="false" customHeight="false" outlineLevel="0" collapsed="false">
      <c r="B35" s="12" t="s">
        <v>14</v>
      </c>
    </row>
    <row r="36" customFormat="false" ht="15" hidden="false" customHeight="false" outlineLevel="0" collapsed="false">
      <c r="B36" s="12" t="s">
        <v>15</v>
      </c>
    </row>
    <row r="37" customFormat="false" ht="15" hidden="false" customHeight="false" outlineLevel="0" collapsed="false">
      <c r="B37" s="12"/>
    </row>
    <row r="38" customFormat="false" ht="15" hidden="false" customHeight="false" outlineLevel="0" collapsed="false">
      <c r="B38" s="11" t="s">
        <v>16</v>
      </c>
    </row>
    <row r="39" customFormat="false" ht="15" hidden="false" customHeight="false" outlineLevel="0" collapsed="false">
      <c r="B39" s="12" t="s">
        <v>17</v>
      </c>
    </row>
    <row r="40" customFormat="false" ht="15" hidden="false" customHeight="false" outlineLevel="0" collapsed="false">
      <c r="B40" s="12" t="s">
        <v>18</v>
      </c>
    </row>
    <row r="41" customFormat="false" ht="15" hidden="false" customHeight="false" outlineLevel="0" collapsed="false">
      <c r="B41" s="12" t="s">
        <v>19</v>
      </c>
    </row>
    <row r="42" customFormat="false" ht="15" hidden="false" customHeight="false" outlineLevel="0" collapsed="false">
      <c r="B42" s="12" t="s">
        <v>20</v>
      </c>
    </row>
    <row r="43" customFormat="false" ht="15" hidden="false" customHeight="false" outlineLevel="0" collapsed="false">
      <c r="B43" s="12" t="s">
        <v>21</v>
      </c>
    </row>
    <row r="44" customFormat="false" ht="15" hidden="false" customHeight="false" outlineLevel="0" collapsed="false">
      <c r="B44" s="12"/>
    </row>
    <row r="45" customFormat="false" ht="15" hidden="false" customHeight="false" outlineLevel="0" collapsed="false">
      <c r="B45" s="11" t="s">
        <v>22</v>
      </c>
    </row>
    <row r="46" customFormat="false" ht="15" hidden="false" customHeight="false" outlineLevel="0" collapsed="false">
      <c r="B46" s="12" t="s">
        <v>23</v>
      </c>
    </row>
    <row r="47" customFormat="false" ht="15" hidden="false" customHeight="false" outlineLevel="0" collapsed="false">
      <c r="B47" s="12" t="s">
        <v>24</v>
      </c>
    </row>
    <row r="48" customFormat="false" ht="15" hidden="false" customHeight="false" outlineLevel="0" collapsed="false">
      <c r="B48" s="1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72"/>
  </cols>
  <sheetData>
    <row r="1" customFormat="false" ht="30" hidden="false" customHeight="true" outlineLevel="0" collapsed="false">
      <c r="A1" s="13" t="s">
        <v>26</v>
      </c>
      <c r="B1" s="13" t="s">
        <v>27</v>
      </c>
      <c r="C1" s="13" t="s">
        <v>28</v>
      </c>
      <c r="D1" s="14" t="s">
        <v>29</v>
      </c>
      <c r="E1" s="14" t="s">
        <v>30</v>
      </c>
    </row>
    <row r="2" customFormat="false" ht="18" hidden="false" customHeight="true" outlineLevel="0" collapsed="false">
      <c r="A2" s="15" t="s">
        <v>8</v>
      </c>
      <c r="B2" s="16" t="s">
        <v>31</v>
      </c>
      <c r="C2" s="16" t="s">
        <v>32</v>
      </c>
      <c r="D2" s="17" t="s">
        <v>5</v>
      </c>
      <c r="E2" s="18" t="s">
        <v>33</v>
      </c>
    </row>
    <row r="3" customFormat="false" ht="30" hidden="false" customHeight="true" outlineLevel="0" collapsed="false">
      <c r="A3" s="15"/>
      <c r="B3" s="16" t="s">
        <v>34</v>
      </c>
      <c r="C3" s="16" t="s">
        <v>35</v>
      </c>
      <c r="D3" s="17" t="s">
        <v>5</v>
      </c>
      <c r="E3" s="18" t="s">
        <v>36</v>
      </c>
    </row>
    <row r="4" customFormat="false" ht="18" hidden="false" customHeight="true" outlineLevel="0" collapsed="false">
      <c r="A4" s="15"/>
      <c r="B4" s="16" t="s">
        <v>37</v>
      </c>
      <c r="C4" s="16" t="s">
        <v>38</v>
      </c>
      <c r="D4" s="17" t="s">
        <v>5</v>
      </c>
      <c r="E4" s="18" t="s">
        <v>39</v>
      </c>
    </row>
    <row r="5" customFormat="false" ht="18" hidden="false" customHeight="true" outlineLevel="0" collapsed="false">
      <c r="A5" s="15"/>
      <c r="B5" s="16" t="s">
        <v>40</v>
      </c>
      <c r="C5" s="16" t="s">
        <v>41</v>
      </c>
      <c r="D5" s="17" t="s">
        <v>5</v>
      </c>
      <c r="E5" s="18" t="s">
        <v>42</v>
      </c>
    </row>
    <row r="6" customFormat="false" ht="18" hidden="false" customHeight="true" outlineLevel="0" collapsed="false">
      <c r="A6" s="15"/>
      <c r="B6" s="16" t="s">
        <v>43</v>
      </c>
      <c r="C6" s="16" t="s">
        <v>44</v>
      </c>
      <c r="D6" s="17" t="s">
        <v>5</v>
      </c>
      <c r="E6" s="18" t="s">
        <v>45</v>
      </c>
    </row>
    <row r="7" customFormat="false" ht="30" hidden="false" customHeight="true" outlineLevel="0" collapsed="false">
      <c r="A7" s="15"/>
      <c r="B7" s="16" t="s">
        <v>46</v>
      </c>
      <c r="C7" s="16" t="s">
        <v>47</v>
      </c>
      <c r="D7" s="17" t="s">
        <v>5</v>
      </c>
      <c r="E7" s="18" t="s">
        <v>48</v>
      </c>
    </row>
    <row r="8" customFormat="false" ht="18" hidden="false" customHeight="true" outlineLevel="0" collapsed="false">
      <c r="A8" s="15"/>
      <c r="B8" s="16" t="s">
        <v>49</v>
      </c>
      <c r="C8" s="16" t="s">
        <v>50</v>
      </c>
      <c r="D8" s="17" t="s">
        <v>5</v>
      </c>
      <c r="E8" s="18" t="s">
        <v>51</v>
      </c>
    </row>
    <row r="9" customFormat="false" ht="18" hidden="false" customHeight="true" outlineLevel="0" collapsed="false">
      <c r="A9" s="15"/>
      <c r="B9" s="16" t="s">
        <v>52</v>
      </c>
      <c r="C9" s="16" t="s">
        <v>53</v>
      </c>
      <c r="D9" s="17" t="s">
        <v>5</v>
      </c>
      <c r="E9" s="18" t="s">
        <v>54</v>
      </c>
    </row>
    <row r="10" customFormat="false" ht="18" hidden="false" customHeight="true" outlineLevel="0" collapsed="false">
      <c r="A10" s="15"/>
      <c r="B10" s="16" t="s">
        <v>55</v>
      </c>
      <c r="C10" s="16" t="s">
        <v>56</v>
      </c>
      <c r="D10" s="17" t="s">
        <v>5</v>
      </c>
      <c r="E10" s="18" t="s">
        <v>57</v>
      </c>
    </row>
    <row r="11" customFormat="false" ht="30" hidden="false" customHeight="true" outlineLevel="0" collapsed="false">
      <c r="A11" s="15"/>
      <c r="B11" s="16" t="s">
        <v>58</v>
      </c>
      <c r="C11" s="16" t="s">
        <v>59</v>
      </c>
      <c r="D11" s="17" t="s">
        <v>5</v>
      </c>
      <c r="E11" s="18" t="s">
        <v>60</v>
      </c>
    </row>
    <row r="12" customFormat="false" ht="45" hidden="false" customHeight="true" outlineLevel="0" collapsed="false">
      <c r="A12" s="15"/>
      <c r="B12" s="16" t="s">
        <v>61</v>
      </c>
      <c r="C12" s="16" t="s">
        <v>62</v>
      </c>
      <c r="D12" s="17" t="s">
        <v>5</v>
      </c>
      <c r="E12" s="18" t="s">
        <v>63</v>
      </c>
    </row>
    <row r="13" customFormat="false" ht="18" hidden="false" customHeight="true" outlineLevel="0" collapsed="false">
      <c r="A13" s="15"/>
      <c r="B13" s="16" t="s">
        <v>64</v>
      </c>
      <c r="C13" s="16" t="s">
        <v>65</v>
      </c>
      <c r="D13" s="17" t="s">
        <v>5</v>
      </c>
      <c r="E13" s="18" t="s">
        <v>66</v>
      </c>
    </row>
    <row r="14" customFormat="false" ht="18" hidden="false" customHeight="true" outlineLevel="0" collapsed="false">
      <c r="A14" s="15"/>
      <c r="B14" s="16" t="s">
        <v>67</v>
      </c>
      <c r="C14" s="16" t="s">
        <v>68</v>
      </c>
      <c r="D14" s="17" t="s">
        <v>5</v>
      </c>
      <c r="E14" s="18" t="s">
        <v>69</v>
      </c>
    </row>
    <row r="15" customFormat="false" ht="18" hidden="false" customHeight="true" outlineLevel="0" collapsed="false">
      <c r="A15" s="19" t="s">
        <v>9</v>
      </c>
      <c r="B15" s="16" t="s">
        <v>31</v>
      </c>
      <c r="C15" s="16" t="s">
        <v>70</v>
      </c>
      <c r="D15" s="20" t="s">
        <v>4</v>
      </c>
      <c r="E15" s="18" t="s">
        <v>71</v>
      </c>
    </row>
    <row r="16" customFormat="false" ht="60" hidden="false" customHeight="true" outlineLevel="0" collapsed="false">
      <c r="A16" s="19"/>
      <c r="B16" s="16" t="s">
        <v>72</v>
      </c>
      <c r="C16" s="16" t="s">
        <v>73</v>
      </c>
      <c r="D16" s="20" t="s">
        <v>4</v>
      </c>
      <c r="E16" s="18" t="s">
        <v>74</v>
      </c>
    </row>
    <row r="17" customFormat="false" ht="45" hidden="false" customHeight="true" outlineLevel="0" collapsed="false">
      <c r="A17" s="19"/>
      <c r="B17" s="16" t="s">
        <v>75</v>
      </c>
      <c r="C17" s="16" t="s">
        <v>76</v>
      </c>
      <c r="D17" s="20" t="s">
        <v>4</v>
      </c>
      <c r="E17" s="18" t="s">
        <v>77</v>
      </c>
    </row>
    <row r="18" customFormat="false" ht="18" hidden="false" customHeight="true" outlineLevel="0" collapsed="false">
      <c r="A18" s="19"/>
      <c r="B18" s="16" t="s">
        <v>78</v>
      </c>
      <c r="C18" s="16" t="s">
        <v>79</v>
      </c>
      <c r="D18" s="20" t="s">
        <v>4</v>
      </c>
      <c r="E18" s="18" t="s">
        <v>80</v>
      </c>
    </row>
    <row r="19" customFormat="false" ht="18" hidden="false" customHeight="true" outlineLevel="0" collapsed="false">
      <c r="A19" s="19"/>
      <c r="B19" s="16" t="s">
        <v>81</v>
      </c>
      <c r="C19" s="16" t="s">
        <v>82</v>
      </c>
      <c r="D19" s="17" t="s">
        <v>5</v>
      </c>
      <c r="E19" s="18" t="s">
        <v>83</v>
      </c>
    </row>
    <row r="20" customFormat="false" ht="30" hidden="false" customHeight="true" outlineLevel="0" collapsed="false">
      <c r="A20" s="19"/>
      <c r="B20" s="16" t="s">
        <v>84</v>
      </c>
      <c r="C20" s="16" t="s">
        <v>85</v>
      </c>
      <c r="D20" s="20" t="s">
        <v>4</v>
      </c>
      <c r="E20" s="18" t="s">
        <v>86</v>
      </c>
    </row>
    <row r="21" customFormat="false" ht="30" hidden="false" customHeight="true" outlineLevel="0" collapsed="false">
      <c r="A21" s="19"/>
      <c r="B21" s="16" t="s">
        <v>87</v>
      </c>
      <c r="C21" s="16" t="s">
        <v>88</v>
      </c>
      <c r="D21" s="20" t="s">
        <v>4</v>
      </c>
      <c r="E21" s="18" t="s">
        <v>89</v>
      </c>
    </row>
    <row r="22" customFormat="false" ht="75" hidden="false" customHeight="true" outlineLevel="0" collapsed="false">
      <c r="A22" s="19"/>
      <c r="B22" s="16" t="s">
        <v>90</v>
      </c>
      <c r="C22" s="16" t="s">
        <v>91</v>
      </c>
      <c r="D22" s="20" t="s">
        <v>4</v>
      </c>
      <c r="E22" s="18" t="s">
        <v>92</v>
      </c>
    </row>
    <row r="23" customFormat="false" ht="60" hidden="false" customHeight="true" outlineLevel="0" collapsed="false">
      <c r="A23" s="19"/>
      <c r="B23" s="16" t="s">
        <v>93</v>
      </c>
      <c r="C23" s="16" t="s">
        <v>94</v>
      </c>
      <c r="D23" s="20" t="s">
        <v>4</v>
      </c>
      <c r="E23" s="18" t="s">
        <v>95</v>
      </c>
    </row>
    <row r="24" customFormat="false" ht="45" hidden="false" customHeight="true" outlineLevel="0" collapsed="false">
      <c r="A24" s="19"/>
      <c r="B24" s="16" t="s">
        <v>96</v>
      </c>
      <c r="C24" s="16" t="s">
        <v>97</v>
      </c>
      <c r="D24" s="20" t="s">
        <v>4</v>
      </c>
      <c r="E24" s="18" t="s">
        <v>98</v>
      </c>
    </row>
    <row r="25" customFormat="false" ht="45" hidden="false" customHeight="true" outlineLevel="0" collapsed="false">
      <c r="A25" s="19"/>
      <c r="B25" s="16" t="s">
        <v>99</v>
      </c>
      <c r="C25" s="16" t="s">
        <v>100</v>
      </c>
      <c r="D25" s="20" t="s">
        <v>4</v>
      </c>
      <c r="E25" s="18" t="s">
        <v>101</v>
      </c>
    </row>
    <row r="26" customFormat="false" ht="18" hidden="false" customHeight="true" outlineLevel="0" collapsed="false">
      <c r="A26" s="19"/>
      <c r="B26" s="16" t="s">
        <v>102</v>
      </c>
      <c r="C26" s="16" t="s">
        <v>68</v>
      </c>
      <c r="D26" s="20" t="s">
        <v>4</v>
      </c>
      <c r="E26" s="18" t="s">
        <v>103</v>
      </c>
    </row>
    <row r="27" customFormat="false" ht="60" hidden="false" customHeight="true" outlineLevel="0" collapsed="false">
      <c r="A27" s="19"/>
      <c r="B27" s="16" t="s">
        <v>104</v>
      </c>
      <c r="C27" s="16" t="s">
        <v>105</v>
      </c>
      <c r="D27" s="20" t="s">
        <v>4</v>
      </c>
      <c r="E27" s="18" t="s">
        <v>106</v>
      </c>
    </row>
    <row r="28" customFormat="false" ht="60" hidden="false" customHeight="true" outlineLevel="0" collapsed="false">
      <c r="A28" s="19"/>
      <c r="B28" s="16" t="s">
        <v>107</v>
      </c>
      <c r="C28" s="16" t="s">
        <v>108</v>
      </c>
      <c r="D28" s="20" t="s">
        <v>4</v>
      </c>
      <c r="E28" s="18" t="s">
        <v>109</v>
      </c>
    </row>
    <row r="29" customFormat="false" ht="60" hidden="false" customHeight="true" outlineLevel="0" collapsed="false">
      <c r="A29" s="19"/>
      <c r="B29" s="16" t="s">
        <v>110</v>
      </c>
      <c r="C29" s="16" t="s">
        <v>111</v>
      </c>
      <c r="D29" s="17" t="s">
        <v>5</v>
      </c>
      <c r="E29" s="18" t="s">
        <v>112</v>
      </c>
    </row>
    <row r="30" customFormat="false" ht="60" hidden="false" customHeight="true" outlineLevel="0" collapsed="false">
      <c r="A30" s="19"/>
      <c r="B30" s="16" t="s">
        <v>61</v>
      </c>
      <c r="C30" s="16" t="s">
        <v>113</v>
      </c>
      <c r="D30" s="20" t="s">
        <v>4</v>
      </c>
      <c r="E30" s="18" t="s">
        <v>114</v>
      </c>
    </row>
    <row r="31" customFormat="false" ht="30" hidden="false" customHeight="true" outlineLevel="0" collapsed="false">
      <c r="A31" s="19"/>
      <c r="B31" s="16" t="s">
        <v>64</v>
      </c>
      <c r="C31" s="16" t="s">
        <v>115</v>
      </c>
      <c r="D31" s="17" t="s">
        <v>5</v>
      </c>
      <c r="E31" s="18" t="s">
        <v>116</v>
      </c>
    </row>
    <row r="32" customFormat="false" ht="18" hidden="false" customHeight="true" outlineLevel="0" collapsed="false">
      <c r="A32" s="19"/>
      <c r="B32" s="16" t="s">
        <v>67</v>
      </c>
      <c r="C32" s="16" t="s">
        <v>68</v>
      </c>
      <c r="D32" s="20" t="s">
        <v>4</v>
      </c>
      <c r="E32" s="18" t="s">
        <v>117</v>
      </c>
    </row>
    <row r="33" customFormat="false" ht="120" hidden="false" customHeight="true" outlineLevel="0" collapsed="false">
      <c r="A33" s="21" t="s">
        <v>10</v>
      </c>
      <c r="B33" s="16" t="s">
        <v>118</v>
      </c>
      <c r="C33" s="16" t="s">
        <v>119</v>
      </c>
      <c r="D33" s="20" t="s">
        <v>4</v>
      </c>
      <c r="E33" s="18" t="s">
        <v>120</v>
      </c>
    </row>
    <row r="34" customFormat="false" ht="45" hidden="false" customHeight="true" outlineLevel="0" collapsed="false">
      <c r="A34" s="21"/>
      <c r="B34" s="16" t="s">
        <v>121</v>
      </c>
      <c r="C34" s="16" t="s">
        <v>122</v>
      </c>
      <c r="D34" s="20" t="s">
        <v>4</v>
      </c>
      <c r="E34" s="18" t="s">
        <v>123</v>
      </c>
    </row>
    <row r="35" customFormat="false" ht="45" hidden="false" customHeight="true" outlineLevel="0" collapsed="false">
      <c r="A35" s="21"/>
      <c r="B35" s="16" t="s">
        <v>75</v>
      </c>
      <c r="C35" s="16" t="s">
        <v>76</v>
      </c>
      <c r="D35" s="20" t="s">
        <v>4</v>
      </c>
      <c r="E35" s="18" t="s">
        <v>124</v>
      </c>
    </row>
    <row r="36" customFormat="false" ht="18" hidden="false" customHeight="true" outlineLevel="0" collapsed="false">
      <c r="A36" s="21"/>
      <c r="B36" s="16" t="s">
        <v>78</v>
      </c>
      <c r="C36" s="16" t="s">
        <v>79</v>
      </c>
      <c r="D36" s="20" t="s">
        <v>4</v>
      </c>
      <c r="E36" s="18" t="s">
        <v>125</v>
      </c>
    </row>
    <row r="37" customFormat="false" ht="18" hidden="false" customHeight="true" outlineLevel="0" collapsed="false">
      <c r="A37" s="21"/>
      <c r="B37" s="16" t="s">
        <v>81</v>
      </c>
      <c r="C37" s="16" t="s">
        <v>82</v>
      </c>
      <c r="D37" s="17" t="s">
        <v>5</v>
      </c>
      <c r="E37" s="18" t="s">
        <v>126</v>
      </c>
    </row>
    <row r="38" customFormat="false" ht="30" hidden="false" customHeight="true" outlineLevel="0" collapsed="false">
      <c r="A38" s="21"/>
      <c r="B38" s="16" t="s">
        <v>127</v>
      </c>
      <c r="C38" s="16" t="s">
        <v>85</v>
      </c>
      <c r="D38" s="20" t="s">
        <v>4</v>
      </c>
      <c r="E38" s="18" t="s">
        <v>128</v>
      </c>
    </row>
    <row r="39" customFormat="false" ht="30" hidden="false" customHeight="true" outlineLevel="0" collapsed="false">
      <c r="A39" s="21"/>
      <c r="B39" s="16" t="s">
        <v>87</v>
      </c>
      <c r="C39" s="16" t="s">
        <v>88</v>
      </c>
      <c r="D39" s="20" t="s">
        <v>4</v>
      </c>
      <c r="E39" s="18" t="s">
        <v>129</v>
      </c>
    </row>
    <row r="40" customFormat="false" ht="120" hidden="false" customHeight="true" outlineLevel="0" collapsed="false">
      <c r="A40" s="21"/>
      <c r="B40" s="16" t="s">
        <v>130</v>
      </c>
      <c r="C40" s="16" t="s">
        <v>131</v>
      </c>
      <c r="D40" s="20" t="s">
        <v>4</v>
      </c>
      <c r="E40" s="18" t="s">
        <v>132</v>
      </c>
    </row>
    <row r="41" customFormat="false" ht="60" hidden="false" customHeight="true" outlineLevel="0" collapsed="false">
      <c r="A41" s="21"/>
      <c r="B41" s="16" t="s">
        <v>133</v>
      </c>
      <c r="C41" s="16" t="s">
        <v>134</v>
      </c>
      <c r="D41" s="20" t="s">
        <v>4</v>
      </c>
      <c r="E41" s="18" t="s">
        <v>135</v>
      </c>
    </row>
    <row r="42" customFormat="false" ht="45" hidden="false" customHeight="true" outlineLevel="0" collapsed="false">
      <c r="A42" s="21"/>
      <c r="B42" s="16" t="s">
        <v>96</v>
      </c>
      <c r="C42" s="16" t="s">
        <v>136</v>
      </c>
      <c r="D42" s="20" t="s">
        <v>4</v>
      </c>
      <c r="E42" s="18" t="s">
        <v>98</v>
      </c>
    </row>
    <row r="43" customFormat="false" ht="45" hidden="false" customHeight="true" outlineLevel="0" collapsed="false">
      <c r="A43" s="21"/>
      <c r="B43" s="16" t="s">
        <v>137</v>
      </c>
      <c r="C43" s="16" t="s">
        <v>138</v>
      </c>
      <c r="D43" s="20" t="s">
        <v>4</v>
      </c>
      <c r="E43" s="18" t="s">
        <v>139</v>
      </c>
    </row>
    <row r="44" customFormat="false" ht="18" hidden="false" customHeight="true" outlineLevel="0" collapsed="false">
      <c r="A44" s="21"/>
      <c r="B44" s="16" t="s">
        <v>102</v>
      </c>
      <c r="C44" s="16" t="s">
        <v>140</v>
      </c>
      <c r="D44" s="20" t="s">
        <v>4</v>
      </c>
      <c r="E44" s="18" t="s">
        <v>141</v>
      </c>
    </row>
    <row r="45" customFormat="false" ht="60" hidden="false" customHeight="true" outlineLevel="0" collapsed="false">
      <c r="A45" s="21"/>
      <c r="B45" s="16" t="s">
        <v>104</v>
      </c>
      <c r="C45" s="16" t="s">
        <v>142</v>
      </c>
      <c r="D45" s="20" t="s">
        <v>4</v>
      </c>
      <c r="E45" s="18" t="s">
        <v>143</v>
      </c>
    </row>
    <row r="46" customFormat="false" ht="30" hidden="false" customHeight="true" outlineLevel="0" collapsed="false">
      <c r="A46" s="21"/>
      <c r="B46" s="16" t="s">
        <v>144</v>
      </c>
      <c r="C46" s="16" t="s">
        <v>145</v>
      </c>
      <c r="D46" s="20" t="s">
        <v>4</v>
      </c>
      <c r="E46" s="18" t="s">
        <v>146</v>
      </c>
    </row>
    <row r="47" customFormat="false" ht="60" hidden="false" customHeight="true" outlineLevel="0" collapsed="false">
      <c r="A47" s="21"/>
      <c r="B47" s="16" t="s">
        <v>61</v>
      </c>
      <c r="C47" s="16" t="s">
        <v>147</v>
      </c>
      <c r="D47" s="20" t="s">
        <v>4</v>
      </c>
      <c r="E47" s="18" t="s">
        <v>148</v>
      </c>
    </row>
    <row r="48" customFormat="false" ht="30" hidden="false" customHeight="true" outlineLevel="0" collapsed="false">
      <c r="A48" s="21"/>
      <c r="B48" s="16" t="s">
        <v>64</v>
      </c>
      <c r="C48" s="16" t="s">
        <v>115</v>
      </c>
      <c r="D48" s="17" t="s">
        <v>5</v>
      </c>
      <c r="E48" s="18" t="s">
        <v>149</v>
      </c>
    </row>
    <row r="49" customFormat="false" ht="18" hidden="false" customHeight="true" outlineLevel="0" collapsed="false">
      <c r="A49" s="21"/>
      <c r="B49" s="16" t="s">
        <v>67</v>
      </c>
      <c r="C49" s="16" t="s">
        <v>68</v>
      </c>
      <c r="D49" s="20" t="s">
        <v>4</v>
      </c>
      <c r="E49" s="18" t="s">
        <v>117</v>
      </c>
    </row>
  </sheetData>
  <mergeCells count="3">
    <mergeCell ref="A2:A14"/>
    <mergeCell ref="A15:A32"/>
    <mergeCell ref="A33:A49"/>
  </mergeCells>
  <dataValidations count="1">
    <dataValidation allowBlank="false" errorStyle="stop" operator="between" showDropDown="false" showErrorMessage="false" showInputMessage="false" sqref="D2:D49" type="list">
      <formula1>"MVP,Plus"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2026-08-22T15:51:51Z</dcterms:created>
  <dc:creator>openpyxl</dc:creator>
  <dc:description/>
  <dc:language>en-US</dc:language>
  <cp:lastModifiedBy/>
  <dcterms:modified xsi:type="dcterms:W3CDTF">2026-08-28T13:59:42Z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